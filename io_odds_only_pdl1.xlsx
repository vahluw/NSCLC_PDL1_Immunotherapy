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hluw/Documents/NSCLC_PDL1_Immunotherapy/"/>
    </mc:Choice>
  </mc:AlternateContent>
  <xr:revisionPtr revIDLastSave="0" documentId="13_ncr:1_{675AA9D0-22D7-1743-8FBC-FDF2D59AD045}" xr6:coauthVersionLast="47" xr6:coauthVersionMax="47" xr10:uidLastSave="{00000000-0000-0000-0000-000000000000}"/>
  <bookViews>
    <workbookView xWindow="36320" yWindow="1460" windowWidth="34980" windowHeight="22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<sst xmlns="http://schemas.openxmlformats.org/spreadsheetml/2006/main" count="72" uniqueCount="55">
  <si>
    <t>therapy_type</t>
  </si>
  <si>
    <t>Odds ratio</t>
  </si>
  <si>
    <t>P&gt;|z|</t>
  </si>
  <si>
    <t>[95% conf. interval]</t>
  </si>
  <si>
    <t/>
  </si>
  <si>
    <t>ecog0</t>
  </si>
  <si>
    <t>ecog1</t>
  </si>
  <si>
    <t>ecog2</t>
  </si>
  <si>
    <t>ecog3</t>
  </si>
  <si>
    <t>ecog4</t>
  </si>
  <si>
    <t>squamouscellcarcinoma</t>
  </si>
  <si>
    <t>nonsquamouscellcarcinoma</t>
  </si>
  <si>
    <t>pdl1</t>
  </si>
  <si>
    <t>hispanicethnicity</t>
  </si>
  <si>
    <t>diagnosisyear</t>
  </si>
  <si>
    <t>ageatdiagnosis</t>
  </si>
  <si>
    <t>white</t>
  </si>
  <si>
    <t>asian</t>
  </si>
  <si>
    <t>black</t>
  </si>
  <si>
    <t>otherrace</t>
  </si>
  <si>
    <t>hispanicrace</t>
  </si>
  <si>
    <t>male</t>
  </si>
  <si>
    <t>daysfromadvanceddiagnosistotreat</t>
  </si>
  <si>
    <t>patientassistanceprogram</t>
  </si>
  <si>
    <t>othergovernmentalinsurance</t>
  </si>
  <si>
    <t>medicare</t>
  </si>
  <si>
    <t>selfpay</t>
  </si>
  <si>
    <t>medicaid</t>
  </si>
  <si>
    <t>commercialhealthplan</t>
  </si>
  <si>
    <t>noinsurance</t>
  </si>
  <si>
    <t>stage0</t>
  </si>
  <si>
    <t>stage1</t>
  </si>
  <si>
    <t>stage2</t>
  </si>
  <si>
    <t>stage3</t>
  </si>
  <si>
    <t>stage4</t>
  </si>
  <si>
    <t>occult</t>
  </si>
  <si>
    <t>neversmoker</t>
  </si>
  <si>
    <t>academicmedicalcenter</t>
  </si>
  <si>
    <t>kidney_bool</t>
  </si>
  <si>
    <t>liver_bool</t>
  </si>
  <si>
    <t>connective_tissue_bool</t>
  </si>
  <si>
    <t>interstitiallungdisease</t>
  </si>
  <si>
    <t>diabetes</t>
  </si>
  <si>
    <t>bonemetastases</t>
  </si>
  <si>
    <t>brainmetastases</t>
  </si>
  <si>
    <t>othercnsmetastases</t>
  </si>
  <si>
    <t>digestivesystemmetastases</t>
  </si>
  <si>
    <t>adrenalmetastases</t>
  </si>
  <si>
    <t>unspecifiedmetastases</t>
  </si>
  <si>
    <t>antiinfectiveusepriortotreatment</t>
  </si>
  <si>
    <t>glucocorticoidusepriortotreatmen</t>
  </si>
  <si>
    <t>braf</t>
  </si>
  <si>
    <t>kras</t>
  </si>
  <si>
    <t>pdl1reported</t>
  </si>
  <si>
    <t>_cons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</si>
</sst>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5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1" fillId="0" borderId="11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0" fontId="13" fillId="0" borderId="13" xfId="0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0" fontId="17" fillId="0" borderId="17" xfId="0" applyFont="1" applyBorder="1" applyAlignment="1">
      <alignment horizontal="right"/>
    </xf>
    <xf numFmtId="0" fontId="18" fillId="0" borderId="18" xfId="0" applyFont="1" applyBorder="1" applyAlignment="1">
      <alignment horizontal="right"/>
    </xf>
    <xf numFmtId="0" fontId="19" fillId="0" borderId="19" xfId="0" applyFont="1" applyBorder="1" applyAlignment="1">
      <alignment horizontal="right"/>
    </xf>
    <xf numFmtId="0" fontId="20" fillId="0" borderId="20" xfId="0" applyFont="1" applyBorder="1" applyAlignment="1">
      <alignment horizontal="right"/>
    </xf>
    <xf numFmtId="0" fontId="21" fillId="0" borderId="21" xfId="0" applyFont="1" applyBorder="1" applyAlignment="1">
      <alignment horizontal="right"/>
    </xf>
    <xf numFmtId="0" fontId="22" fillId="0" borderId="22" xfId="0" applyFont="1" applyBorder="1" applyAlignment="1">
      <alignment horizontal="right"/>
    </xf>
    <xf numFmtId="0" fontId="23" fillId="0" borderId="23" xfId="0" applyFont="1" applyBorder="1" applyAlignment="1">
      <alignment horizontal="right"/>
    </xf>
    <xf numFmtId="0" fontId="24" fillId="0" borderId="24" xfId="0" applyFont="1" applyBorder="1" applyAlignment="1">
      <alignment horizontal="right"/>
    </xf>
    <xf numFmtId="0" fontId="25" fillId="0" borderId="25" xfId="0" applyFont="1" applyBorder="1" applyAlignment="1">
      <alignment horizontal="right"/>
    </xf>
    <xf numFmtId="0" fontId="26" fillId="0" borderId="26" xfId="0" applyFont="1" applyBorder="1" applyAlignment="1">
      <alignment horizontal="right"/>
    </xf>
    <xf numFmtId="0" fontId="27" fillId="0" borderId="27" xfId="0" applyFont="1" applyBorder="1" applyAlignment="1">
      <alignment horizontal="right"/>
    </xf>
    <xf numFmtId="0" fontId="28" fillId="0" borderId="28" xfId="0" applyFont="1" applyBorder="1" applyAlignment="1">
      <alignment horizontal="right"/>
    </xf>
    <xf numFmtId="0" fontId="29" fillId="0" borderId="29" xfId="0" applyFont="1" applyBorder="1" applyAlignment="1">
      <alignment horizontal="right"/>
    </xf>
    <xf numFmtId="0" fontId="30" fillId="0" borderId="30" xfId="0" applyFont="1" applyBorder="1" applyAlignment="1">
      <alignment horizontal="right"/>
    </xf>
    <xf numFmtId="0" fontId="31" fillId="0" borderId="31" xfId="0" applyFont="1" applyBorder="1" applyAlignment="1">
      <alignment horizontal="right"/>
    </xf>
    <xf numFmtId="0" fontId="32" fillId="0" borderId="32" xfId="0" applyFont="1" applyBorder="1" applyAlignment="1">
      <alignment horizontal="right"/>
    </xf>
    <xf numFmtId="0" fontId="33" fillId="0" borderId="33" xfId="0" applyFont="1" applyBorder="1" applyAlignment="1">
      <alignment horizontal="right"/>
    </xf>
    <xf numFmtId="0" fontId="34" fillId="0" borderId="34" xfId="0" applyFont="1" applyBorder="1" applyAlignment="1">
      <alignment horizontal="right"/>
    </xf>
    <xf numFmtId="0" fontId="35" fillId="0" borderId="35" xfId="0" applyFont="1" applyBorder="1" applyAlignment="1">
      <alignment horizontal="right"/>
    </xf>
    <xf numFmtId="0" fontId="36" fillId="0" borderId="36" xfId="0" applyFont="1" applyBorder="1" applyAlignment="1">
      <alignment horizontal="right"/>
    </xf>
    <xf numFmtId="0" fontId="37" fillId="0" borderId="37" xfId="0" applyFont="1" applyBorder="1" applyAlignment="1">
      <alignment horizontal="right"/>
    </xf>
    <xf numFmtId="0" fontId="38" fillId="0" borderId="38" xfId="0" applyFont="1" applyBorder="1" applyAlignment="1">
      <alignment horizontal="right"/>
    </xf>
    <xf numFmtId="0" fontId="39" fillId="0" borderId="39" xfId="0" applyFont="1" applyBorder="1" applyAlignment="1">
      <alignment horizontal="right"/>
    </xf>
    <xf numFmtId="0" fontId="40" fillId="0" borderId="40" xfId="0" applyFont="1" applyBorder="1" applyAlignment="1">
      <alignment horizontal="right"/>
    </xf>
    <xf numFmtId="0" fontId="41" fillId="0" borderId="41" xfId="0" applyFont="1" applyBorder="1" applyAlignment="1">
      <alignment horizontal="right"/>
    </xf>
    <xf numFmtId="0" fontId="42" fillId="0" borderId="42" xfId="0" applyFont="1" applyBorder="1" applyAlignment="1">
      <alignment horizontal="right"/>
    </xf>
    <xf numFmtId="0" fontId="43" fillId="0" borderId="43" xfId="0" applyFont="1" applyBorder="1" applyAlignment="1">
      <alignment horizontal="right"/>
    </xf>
    <xf numFmtId="0" fontId="44" fillId="0" borderId="44" xfId="0" applyFont="1" applyBorder="1" applyAlignment="1">
      <alignment horizontal="right"/>
    </xf>
    <xf numFmtId="0" fontId="45" fillId="0" borderId="45" xfId="0" applyFont="1" applyBorder="1" applyAlignment="1">
      <alignment horizontal="right"/>
    </xf>
    <xf numFmtId="0" fontId="46" fillId="0" borderId="46" xfId="0" applyFont="1" applyBorder="1" applyAlignment="1">
      <alignment horizontal="right"/>
    </xf>
    <xf numFmtId="0" fontId="47" fillId="0" borderId="47" xfId="0" applyFont="1" applyBorder="1" applyAlignment="1">
      <alignment horizontal="right"/>
    </xf>
    <xf numFmtId="0" fontId="48" fillId="0" borderId="48" xfId="0" applyFont="1" applyBorder="1" applyAlignment="1">
      <alignment horizontal="right"/>
    </xf>
    <xf numFmtId="0" fontId="49" fillId="0" borderId="49" xfId="0" applyFont="1" applyBorder="1" applyAlignment="1">
      <alignment horizontal="right"/>
    </xf>
    <xf numFmtId="0" fontId="50" fillId="0" borderId="50" xfId="0" applyFont="1" applyBorder="1" applyAlignment="1">
      <alignment horizontal="right"/>
    </xf>
    <xf numFmtId="0" fontId="51" fillId="0" borderId="51" xfId="0" applyFont="1" applyBorder="1" applyAlignment="1">
      <alignment horizontal="right"/>
    </xf>
    <xf numFmtId="0" fontId="52" fillId="0" borderId="52" xfId="0" applyFont="1" applyBorder="1" applyAlignment="1">
      <alignment horizontal="right"/>
    </xf>
    <xf numFmtId="0" fontId="53" fillId="0" borderId="53" xfId="0" applyFont="1" applyBorder="1" applyAlignment="1">
      <alignment horizontal="right"/>
    </xf>
    <xf numFmtId="0" fontId="54" fillId="0" borderId="54" xfId="0" applyFont="1" applyBorder="1" applyAlignment="1">
      <alignment horizontal="right"/>
    </xf>
    <xf numFmtId="0" fontId="55" fillId="0" borderId="55" xfId="0" applyFont="1" applyBorder="1" applyAlignment="1">
      <alignment horizontal="right"/>
    </xf>
    <xf numFmtId="0" fontId="56" fillId="0" borderId="56" xfId="0" applyFont="1" applyBorder="1" applyAlignment="1">
      <alignment horizontal="right"/>
    </xf>
    <xf numFmtId="0" fontId="57" fillId="0" borderId="57" xfId="0" applyFont="1" applyBorder="1" applyAlignment="1">
      <alignment horizontal="right"/>
    </xf>
    <xf numFmtId="0" fontId="58" fillId="0" borderId="58" xfId="0" applyFont="1" applyBorder="1" applyAlignment="1">
      <alignment horizontal="right"/>
    </xf>
    <xf numFmtId="0" fontId="59" fillId="0" borderId="59" xfId="0" applyFont="1" applyBorder="1" applyAlignment="1">
      <alignment horizontal="right"/>
    </xf>
    <xf numFmtId="0" fontId="60" fillId="0" borderId="60" xfId="0" applyFont="1" applyBorder="1" applyAlignment="1">
      <alignment horizontal="right"/>
    </xf>
    <xf numFmtId="0" fontId="61" fillId="0" borderId="61" xfId="0" applyFont="1" applyBorder="1" applyAlignment="1">
      <alignment horizontal="right"/>
    </xf>
    <xf numFmtId="0" fontId="62" fillId="0" borderId="62" xfId="0" applyFont="1" applyBorder="1" applyAlignment="1">
      <alignment horizontal="right"/>
    </xf>
    <xf numFmtId="0" fontId="63" fillId="0" borderId="63" xfId="0" applyFont="1" applyBorder="1" applyAlignment="1">
      <alignment horizontal="right"/>
    </xf>
    <xf numFmtId="0" fontId="64" fillId="0" borderId="64" xfId="0" applyFont="1" applyBorder="1" applyAlignment="1">
      <alignment horizontal="right"/>
    </xf>
    <xf numFmtId="0" fontId="65" fillId="0" borderId="65" xfId="0" applyFont="1" applyBorder="1" applyAlignment="1">
      <alignment horizontal="right"/>
    </xf>
    <xf numFmtId="0" fontId="66" fillId="0" borderId="66" xfId="0" applyFont="1" applyBorder="1" applyAlignment="1">
      <alignment horizontal="right"/>
    </xf>
    <xf numFmtId="0" fontId="67" fillId="0" borderId="67" xfId="0" applyFont="1" applyBorder="1" applyAlignment="1">
      <alignment horizontal="right"/>
    </xf>
    <xf numFmtId="0" fontId="68" fillId="0" borderId="68" xfId="0" applyFont="1" applyBorder="1" applyAlignment="1">
      <alignment horizontal="right"/>
    </xf>
    <xf numFmtId="0" fontId="69" fillId="0" borderId="69" xfId="0" applyFont="1" applyBorder="1" applyAlignment="1">
      <alignment horizontal="right"/>
    </xf>
    <xf numFmtId="0" fontId="70" fillId="0" borderId="70" xfId="0" applyFont="1" applyBorder="1" applyAlignment="1">
      <alignment horizontal="right"/>
    </xf>
    <xf numFmtId="0" fontId="71" fillId="0" borderId="71" xfId="0" applyFont="1" applyBorder="1" applyAlignment="1">
      <alignment horizontal="right"/>
    </xf>
    <xf numFmtId="0" fontId="72" fillId="0" borderId="72" xfId="0" applyFont="1" applyBorder="1" applyAlignment="1">
      <alignment horizontal="right"/>
    </xf>
    <xf numFmtId="0" fontId="73" fillId="0" borderId="73" xfId="0" applyFont="1" applyBorder="1" applyAlignment="1">
      <alignment horizontal="right"/>
    </xf>
    <xf numFmtId="0" fontId="74" fillId="0" borderId="74" xfId="0" applyFont="1" applyBorder="1" applyAlignment="1">
      <alignment horizontal="right"/>
    </xf>
    <xf numFmtId="0" fontId="75" fillId="0" borderId="75" xfId="0" applyFont="1" applyBorder="1" applyAlignment="1">
      <alignment horizontal="right"/>
    </xf>
    <xf numFmtId="0" fontId="76" fillId="0" borderId="76" xfId="0" applyFont="1" applyBorder="1" applyAlignment="1">
      <alignment horizontal="right"/>
    </xf>
    <xf numFmtId="0" fontId="77" fillId="0" borderId="77" xfId="0" applyFont="1" applyBorder="1" applyAlignment="1">
      <alignment horizontal="right"/>
    </xf>
    <xf numFmtId="0" fontId="78" fillId="0" borderId="78" xfId="0" applyFont="1" applyBorder="1" applyAlignment="1">
      <alignment horizontal="right"/>
    </xf>
    <xf numFmtId="0" fontId="79" fillId="0" borderId="79" xfId="0" applyFont="1" applyBorder="1" applyAlignment="1">
      <alignment horizontal="right"/>
    </xf>
    <xf numFmtId="0" fontId="80" fillId="0" borderId="80" xfId="0" applyFont="1" applyBorder="1" applyAlignment="1">
      <alignment horizontal="right"/>
    </xf>
    <xf numFmtId="0" fontId="81" fillId="0" borderId="81" xfId="0" applyFont="1" applyBorder="1" applyAlignment="1">
      <alignment horizontal="right"/>
    </xf>
    <xf numFmtId="0" fontId="82" fillId="0" borderId="82" xfId="0" applyFont="1" applyBorder="1" applyAlignment="1">
      <alignment horizontal="right"/>
    </xf>
    <xf numFmtId="0" fontId="83" fillId="0" borderId="83" xfId="0" applyFont="1" applyBorder="1" applyAlignment="1">
      <alignment horizontal="right"/>
    </xf>
    <xf numFmtId="0" fontId="84" fillId="0" borderId="84" xfId="0" applyFont="1" applyBorder="1" applyAlignment="1">
      <alignment horizontal="right"/>
    </xf>
    <xf numFmtId="0" fontId="85" fillId="0" borderId="85" xfId="0" applyFont="1" applyBorder="1" applyAlignment="1">
      <alignment horizontal="right"/>
    </xf>
    <xf numFmtId="0" fontId="86" fillId="0" borderId="86" xfId="0" applyFont="1" applyBorder="1" applyAlignment="1">
      <alignment horizontal="right"/>
    </xf>
    <xf numFmtId="0" fontId="87" fillId="0" borderId="87" xfId="0" applyFont="1" applyBorder="1" applyAlignment="1">
      <alignment horizontal="right"/>
    </xf>
    <xf numFmtId="0" fontId="88" fillId="0" borderId="88" xfId="0" applyFont="1" applyBorder="1" applyAlignment="1">
      <alignment horizontal="right"/>
    </xf>
    <xf numFmtId="0" fontId="89" fillId="0" borderId="89" xfId="0" applyFont="1" applyBorder="1" applyAlignment="1">
      <alignment horizontal="right"/>
    </xf>
    <xf numFmtId="0" fontId="90" fillId="0" borderId="90" xfId="0" applyFont="1" applyBorder="1" applyAlignment="1">
      <alignment horizontal="right"/>
    </xf>
    <xf numFmtId="0" fontId="91" fillId="0" borderId="91" xfId="0" applyFont="1" applyBorder="1" applyAlignment="1">
      <alignment horizontal="right"/>
    </xf>
    <xf numFmtId="0" fontId="92" fillId="0" borderId="92" xfId="0" applyFont="1" applyBorder="1" applyAlignment="1">
      <alignment horizontal="right"/>
    </xf>
    <xf numFmtId="0" fontId="93" fillId="0" borderId="93" xfId="0" applyFont="1" applyBorder="1" applyAlignment="1">
      <alignment horizontal="right"/>
    </xf>
    <xf numFmtId="0" fontId="94" fillId="0" borderId="94" xfId="0" applyFont="1" applyBorder="1" applyAlignment="1">
      <alignment horizontal="right"/>
    </xf>
    <xf numFmtId="0" fontId="95" fillId="0" borderId="95" xfId="0" applyFont="1" applyBorder="1" applyAlignment="1">
      <alignment horizontal="right"/>
    </xf>
    <xf numFmtId="0" fontId="96" fillId="0" borderId="96" xfId="0" applyFont="1" applyBorder="1" applyAlignment="1">
      <alignment horizontal="right"/>
    </xf>
    <xf numFmtId="0" fontId="97" fillId="0" borderId="97" xfId="0" applyFont="1" applyBorder="1" applyAlignment="1">
      <alignment horizontal="right"/>
    </xf>
    <xf numFmtId="0" fontId="98" fillId="0" borderId="98" xfId="0" applyFont="1" applyBorder="1" applyAlignment="1">
      <alignment horizontal="right"/>
    </xf>
    <xf numFmtId="0" fontId="99" fillId="0" borderId="99" xfId="0" applyFont="1" applyBorder="1" applyAlignment="1">
      <alignment horizontal="right"/>
    </xf>
    <xf numFmtId="0" fontId="100" fillId="0" borderId="100" xfId="0" applyFont="1" applyBorder="1" applyAlignment="1">
      <alignment horizontal="right"/>
    </xf>
    <xf numFmtId="0" fontId="101" fillId="0" borderId="101" xfId="0" applyFont="1" applyBorder="1" applyAlignment="1">
      <alignment horizontal="right"/>
    </xf>
    <xf numFmtId="0" fontId="102" fillId="0" borderId="102" xfId="0" applyFont="1" applyBorder="1" applyAlignment="1">
      <alignment horizontal="right"/>
    </xf>
    <xf numFmtId="0" fontId="103" fillId="0" borderId="103" xfId="0" applyFont="1" applyBorder="1" applyAlignment="1">
      <alignment horizontal="right"/>
    </xf>
    <xf numFmtId="0" fontId="104" fillId="0" borderId="104" xfId="0" applyFont="1" applyBorder="1" applyAlignment="1">
      <alignment horizontal="right"/>
    </xf>
    <xf numFmtId="0" fontId="105" fillId="0" borderId="105" xfId="0" applyFont="1" applyBorder="1" applyAlignment="1">
      <alignment horizontal="right"/>
    </xf>
    <xf numFmtId="0" fontId="106" fillId="0" borderId="106" xfId="0" applyFont="1" applyBorder="1" applyAlignment="1">
      <alignment horizontal="right"/>
    </xf>
    <xf numFmtId="0" fontId="107" fillId="0" borderId="107" xfId="0" applyFont="1" applyBorder="1" applyAlignment="1">
      <alignment horizontal="right"/>
    </xf>
    <xf numFmtId="0" fontId="108" fillId="0" borderId="108" xfId="0" applyFont="1" applyBorder="1" applyAlignment="1">
      <alignment horizontal="right"/>
    </xf>
    <xf numFmtId="0" fontId="109" fillId="0" borderId="109" xfId="0" applyFont="1" applyBorder="1" applyAlignment="1">
      <alignment horizontal="right"/>
    </xf>
    <xf numFmtId="0" fontId="110" fillId="0" borderId="110" xfId="0" applyFont="1" applyBorder="1" applyAlignment="1">
      <alignment horizontal="right"/>
    </xf>
    <xf numFmtId="0" fontId="111" fillId="0" borderId="111" xfId="0" applyFont="1" applyBorder="1" applyAlignment="1">
      <alignment horizontal="right"/>
    </xf>
    <xf numFmtId="0" fontId="112" fillId="0" borderId="112" xfId="0" applyFont="1" applyBorder="1" applyAlignment="1">
      <alignment horizontal="right"/>
    </xf>
    <xf numFmtId="0" fontId="113" fillId="0" borderId="113" xfId="0" applyFont="1" applyBorder="1" applyAlignment="1">
      <alignment horizontal="right"/>
    </xf>
    <xf numFmtId="0" fontId="114" fillId="0" borderId="114" xfId="0" applyFont="1" applyBorder="1" applyAlignment="1">
      <alignment horizontal="right"/>
    </xf>
    <xf numFmtId="0" fontId="115" fillId="0" borderId="115" xfId="0" applyFont="1" applyBorder="1" applyAlignment="1">
      <alignment horizontal="right"/>
    </xf>
    <xf numFmtId="0" fontId="116" fillId="0" borderId="116" xfId="0" applyFont="1" applyBorder="1" applyAlignment="1">
      <alignment horizontal="right"/>
    </xf>
    <xf numFmtId="0" fontId="117" fillId="0" borderId="117" xfId="0" applyFont="1" applyBorder="1" applyAlignment="1">
      <alignment horizontal="right"/>
    </xf>
    <xf numFmtId="0" fontId="118" fillId="0" borderId="118" xfId="0" applyFont="1" applyBorder="1" applyAlignment="1">
      <alignment horizontal="right"/>
    </xf>
    <xf numFmtId="0" fontId="119" fillId="0" borderId="119" xfId="0" applyFont="1" applyBorder="1" applyAlignment="1">
      <alignment horizontal="right"/>
    </xf>
    <xf numFmtId="0" fontId="120" fillId="0" borderId="120" xfId="0" applyFont="1" applyBorder="1" applyAlignment="1">
      <alignment horizontal="right"/>
    </xf>
    <xf numFmtId="0" fontId="121" fillId="0" borderId="121" xfId="0" applyFont="1" applyBorder="1" applyAlignment="1">
      <alignment horizontal="right"/>
    </xf>
    <xf numFmtId="0" fontId="122" fillId="0" borderId="122" xfId="0" applyFont="1" applyBorder="1" applyAlignment="1">
      <alignment horizontal="right"/>
    </xf>
    <xf numFmtId="0" fontId="123" fillId="0" borderId="123" xfId="0" applyFont="1" applyBorder="1" applyAlignment="1">
      <alignment horizontal="right"/>
    </xf>
    <xf numFmtId="0" fontId="124" fillId="0" borderId="124" xfId="0" applyFont="1" applyBorder="1" applyAlignment="1">
      <alignment horizontal="right"/>
    </xf>
    <xf numFmtId="0" fontId="125" fillId="0" borderId="125" xfId="0" applyFont="1" applyBorder="1" applyAlignment="1">
      <alignment horizontal="right"/>
    </xf>
    <xf numFmtId="0" fontId="126" fillId="0" borderId="126" xfId="0" applyFont="1" applyBorder="1" applyAlignment="1">
      <alignment horizontal="right"/>
    </xf>
    <xf numFmtId="0" fontId="127" fillId="0" borderId="127" xfId="0" applyFont="1" applyBorder="1" applyAlignment="1">
      <alignment horizontal="right"/>
    </xf>
    <xf numFmtId="0" fontId="128" fillId="0" borderId="128" xfId="0" applyFont="1" applyBorder="1" applyAlignment="1">
      <alignment horizontal="right"/>
    </xf>
    <xf numFmtId="0" fontId="129" fillId="0" borderId="129" xfId="0" applyFont="1" applyBorder="1" applyAlignment="1">
      <alignment horizontal="right"/>
    </xf>
    <xf numFmtId="0" fontId="130" fillId="0" borderId="130" xfId="0" applyFont="1" applyBorder="1" applyAlignment="1">
      <alignment horizontal="right"/>
    </xf>
    <xf numFmtId="0" fontId="131" fillId="0" borderId="131" xfId="0" applyFont="1" applyBorder="1" applyAlignment="1">
      <alignment horizontal="right"/>
    </xf>
    <xf numFmtId="0" fontId="132" fillId="0" borderId="132" xfId="0" applyFont="1" applyBorder="1" applyAlignment="1">
      <alignment horizontal="right"/>
    </xf>
    <xf numFmtId="0" fontId="133" fillId="0" borderId="133" xfId="0" applyFont="1" applyBorder="1" applyAlignment="1">
      <alignment horizontal="right"/>
    </xf>
    <xf numFmtId="0" fontId="134" fillId="0" borderId="134" xfId="0" applyFont="1" applyBorder="1" applyAlignment="1">
      <alignment horizontal="right"/>
    </xf>
    <xf numFmtId="0" fontId="135" fillId="0" borderId="135" xfId="0" applyFont="1" applyBorder="1" applyAlignment="1">
      <alignment horizontal="right"/>
    </xf>
    <xf numFmtId="0" fontId="136" fillId="0" borderId="136" xfId="0" applyFont="1" applyBorder="1" applyAlignment="1">
      <alignment horizontal="right"/>
    </xf>
    <xf numFmtId="0" fontId="137" fillId="0" borderId="137" xfId="0" applyFont="1" applyBorder="1" applyAlignment="1">
      <alignment horizontal="right"/>
    </xf>
    <xf numFmtId="0" fontId="138" fillId="0" borderId="138" xfId="0" applyFont="1" applyBorder="1" applyAlignment="1">
      <alignment horizontal="right"/>
    </xf>
    <xf numFmtId="0" fontId="139" fillId="0" borderId="139" xfId="0" applyFont="1" applyBorder="1" applyAlignment="1">
      <alignment horizontal="right"/>
    </xf>
    <xf numFmtId="0" fontId="140" fillId="0" borderId="140" xfId="0" applyFont="1" applyBorder="1" applyAlignment="1">
      <alignment horizontal="right"/>
    </xf>
    <xf numFmtId="0" fontId="141" fillId="0" borderId="141" xfId="0" applyFont="1" applyBorder="1" applyAlignment="1">
      <alignment horizontal="right"/>
    </xf>
    <xf numFmtId="0" fontId="142" fillId="0" borderId="142" xfId="0" applyFont="1" applyBorder="1" applyAlignment="1">
      <alignment horizontal="right"/>
    </xf>
    <xf numFmtId="0" fontId="143" fillId="0" borderId="143" xfId="0" applyFont="1" applyBorder="1" applyAlignment="1">
      <alignment horizontal="right"/>
    </xf>
    <xf numFmtId="0" fontId="144" fillId="0" borderId="144" xfId="0" applyFont="1" applyBorder="1" applyAlignment="1">
      <alignment horizontal="right"/>
    </xf>
    <xf numFmtId="0" fontId="145" fillId="0" borderId="145" xfId="0" applyFont="1" applyBorder="1" applyAlignment="1">
      <alignment horizontal="right"/>
    </xf>
    <xf numFmtId="0" fontId="146" fillId="0" borderId="146" xfId="0" applyFont="1" applyBorder="1" applyAlignment="1">
      <alignment horizontal="right"/>
    </xf>
    <xf numFmtId="0" fontId="147" fillId="0" borderId="147" xfId="0" applyFont="1" applyBorder="1" applyAlignment="1">
      <alignment horizontal="right"/>
    </xf>
    <xf numFmtId="0" fontId="148" fillId="0" borderId="148" xfId="0" applyFont="1" applyBorder="1" applyAlignment="1">
      <alignment horizontal="right"/>
    </xf>
    <xf numFmtId="0" fontId="149" fillId="0" borderId="149" xfId="0" applyFont="1" applyBorder="1" applyAlignment="1">
      <alignment horizontal="right"/>
    </xf>
    <xf numFmtId="0" fontId="150" fillId="0" borderId="150" xfId="0" applyFont="1" applyBorder="1" applyAlignment="1">
      <alignment horizontal="right"/>
    </xf>
    <xf numFmtId="0" fontId="151" fillId="0" borderId="151" xfId="0" applyFont="1" applyBorder="1" applyAlignment="1">
      <alignment horizontal="right"/>
    </xf>
    <xf numFmtId="0" fontId="152" fillId="0" borderId="152" xfId="0" applyFont="1" applyBorder="1" applyAlignment="1">
      <alignment horizontal="right"/>
    </xf>
    <xf numFmtId="0" fontId="153" fillId="0" borderId="153" xfId="0" applyFont="1" applyBorder="1" applyAlignment="1">
      <alignment horizontal="right"/>
    </xf>
    <xf numFmtId="0" fontId="154" fillId="0" borderId="154" xfId="0" applyFont="1" applyBorder="1" applyAlignment="1">
      <alignment horizontal="right"/>
    </xf>
    <xf numFmtId="0" fontId="155" fillId="0" borderId="155" xfId="0" applyFont="1" applyBorder="1" applyAlignment="1">
      <alignment horizontal="right"/>
    </xf>
    <xf numFmtId="0" fontId="156" fillId="0" borderId="156" xfId="0" applyFont="1" applyBorder="1" applyAlignment="1">
      <alignment horizontal="right"/>
    </xf>
    <xf numFmtId="0" fontId="157" fillId="0" borderId="157" xfId="0" applyFont="1" applyBorder="1" applyAlignment="1">
      <alignment horizontal="right"/>
    </xf>
    <xf numFmtId="0" fontId="158" fillId="0" borderId="158" xfId="0" applyFont="1" applyBorder="1" applyAlignment="1">
      <alignment horizontal="right"/>
    </xf>
    <xf numFmtId="0" fontId="159" fillId="0" borderId="159" xfId="0" applyFont="1" applyBorder="1" applyAlignment="1">
      <alignment horizontal="right"/>
    </xf>
    <xf numFmtId="0" fontId="160" fillId="0" borderId="160" xfId="0" applyFont="1" applyBorder="1" applyAlignment="1">
      <alignment horizontal="right"/>
    </xf>
    <xf numFmtId="0" fontId="161" fillId="0" borderId="161" xfId="0" applyFont="1" applyBorder="1" applyAlignment="1">
      <alignment horizontal="right"/>
    </xf>
    <xf numFmtId="0" fontId="162" fillId="0" borderId="162" xfId="0" applyFont="1" applyBorder="1" applyAlignment="1">
      <alignment horizontal="right"/>
    </xf>
    <xf numFmtId="0" fontId="163" fillId="0" borderId="163" xfId="0" applyFont="1" applyBorder="1" applyAlignment="1">
      <alignment horizontal="right"/>
    </xf>
    <xf numFmtId="0" fontId="164" fillId="0" borderId="164" xfId="0" applyFont="1" applyBorder="1" applyAlignment="1">
      <alignment horizontal="right"/>
    </xf>
    <xf numFmtId="0" fontId="165" fillId="0" borderId="165" xfId="0" applyFont="1" applyBorder="1" applyAlignment="1">
      <alignment horizontal="right"/>
    </xf>
    <xf numFmtId="0" fontId="166" fillId="0" borderId="166" xfId="0" applyFont="1" applyBorder="1" applyAlignment="1">
      <alignment horizontal="right"/>
    </xf>
    <xf numFmtId="0" fontId="167" fillId="0" borderId="167" xfId="0" applyFont="1" applyBorder="1" applyAlignment="1">
      <alignment horizontal="right"/>
    </xf>
    <xf numFmtId="0" fontId="168" fillId="0" borderId="168" xfId="0" applyFont="1" applyBorder="1" applyAlignment="1">
      <alignment horizontal="right"/>
    </xf>
    <xf numFmtId="0" fontId="169" fillId="0" borderId="169" xfId="0" applyFont="1" applyBorder="1" applyAlignment="1">
      <alignment horizontal="right"/>
    </xf>
    <xf numFmtId="0" fontId="170" fillId="0" borderId="170" xfId="0" applyFont="1" applyBorder="1" applyAlignment="1">
      <alignment horizontal="right"/>
    </xf>
    <xf numFmtId="0" fontId="171" fillId="0" borderId="171" xfId="0" applyFont="1" applyBorder="1" applyAlignment="1">
      <alignment horizontal="right"/>
    </xf>
    <xf numFmtId="0" fontId="172" fillId="0" borderId="172" xfId="0" applyFont="1" applyBorder="1" applyAlignment="1">
      <alignment horizontal="right"/>
    </xf>
    <xf numFmtId="0" fontId="173" fillId="0" borderId="173" xfId="0" applyFont="1" applyBorder="1" applyAlignment="1">
      <alignment horizontal="right"/>
    </xf>
    <xf numFmtId="0" fontId="174" fillId="0" borderId="174" xfId="0" applyFont="1" applyBorder="1" applyAlignment="1">
      <alignment horizontal="right"/>
    </xf>
    <xf numFmtId="0" fontId="175" fillId="0" borderId="175" xfId="0" applyFont="1" applyBorder="1" applyAlignment="1">
      <alignment horizontal="right"/>
    </xf>
    <xf numFmtId="0" fontId="176" fillId="0" borderId="176" xfId="0" applyFont="1" applyBorder="1" applyAlignment="1">
      <alignment horizontal="right"/>
    </xf>
    <xf numFmtId="0" fontId="177" fillId="0" borderId="177" xfId="0" applyFont="1" applyBorder="1" applyAlignment="1">
      <alignment horizontal="right"/>
    </xf>
    <xf numFmtId="0" fontId="178" fillId="0" borderId="178" xfId="0" applyFont="1" applyBorder="1" applyAlignment="1">
      <alignment horizontal="right"/>
    </xf>
    <xf numFmtId="0" fontId="179" fillId="0" borderId="179" xfId="0" applyFont="1" applyBorder="1" applyAlignment="1">
      <alignment horizontal="right"/>
    </xf>
    <xf numFmtId="0" fontId="180" fillId="0" borderId="180" xfId="0" applyFont="1" applyBorder="1" applyAlignment="1">
      <alignment horizontal="right"/>
    </xf>
    <xf numFmtId="0" fontId="181" fillId="0" borderId="181" xfId="0" applyFont="1" applyBorder="1" applyAlignment="1">
      <alignment horizontal="right"/>
    </xf>
    <xf numFmtId="0" fontId="182" fillId="0" borderId="182" xfId="0" applyFont="1" applyBorder="1" applyAlignment="1">
      <alignment horizontal="right"/>
    </xf>
    <xf numFmtId="0" fontId="183" fillId="0" borderId="183" xfId="0" applyFont="1" applyBorder="1" applyAlignment="1">
      <alignment horizontal="right"/>
    </xf>
    <xf numFmtId="0" fontId="184" fillId="0" borderId="184" xfId="0" applyFont="1" applyBorder="1" applyAlignment="1">
      <alignment horizontal="right"/>
    </xf>
    <xf numFmtId="0" fontId="185" fillId="0" borderId="185" xfId="0" applyFont="1" applyBorder="1" applyAlignment="1">
      <alignment horizontal="right"/>
    </xf>
    <xf numFmtId="0" fontId="186" fillId="0" borderId="186" xfId="0" applyFont="1" applyBorder="1" applyAlignment="1">
      <alignment horizontal="right"/>
    </xf>
    <xf numFmtId="0" fontId="187" fillId="0" borderId="187" xfId="0" applyFont="1" applyBorder="1" applyAlignment="1">
      <alignment horizontal="right"/>
    </xf>
    <xf numFmtId="0" fontId="188" fillId="0" borderId="188" xfId="0" applyFont="1" applyBorder="1" applyAlignment="1">
      <alignment horizontal="right"/>
    </xf>
    <xf numFmtId="0" fontId="189" fillId="0" borderId="189" xfId="0" applyFont="1" applyBorder="1" applyAlignment="1">
      <alignment horizontal="right"/>
    </xf>
    <xf numFmtId="0" fontId="190" fillId="0" borderId="190" xfId="0" applyFont="1" applyBorder="1" applyAlignment="1">
      <alignment horizontal="right"/>
    </xf>
    <xf numFmtId="0" fontId="191" fillId="0" borderId="191" xfId="0" applyFont="1" applyBorder="1" applyAlignment="1">
      <alignment horizontal="right"/>
    </xf>
    <xf numFmtId="0" fontId="192" fillId="0" borderId="192" xfId="0" applyFont="1" applyBorder="1" applyAlignment="1">
      <alignment horizontal="right"/>
    </xf>
    <xf numFmtId="0" fontId="193" fillId="0" borderId="193" xfId="0" applyFont="1" applyBorder="1" applyAlignment="1">
      <alignment horizontal="right"/>
    </xf>
    <xf numFmtId="0" fontId="194" fillId="0" borderId="194" xfId="0" applyFont="1" applyBorder="1" applyAlignment="1">
      <alignment horizontal="right"/>
    </xf>
    <xf numFmtId="0" fontId="195" fillId="0" borderId="195" xfId="0" applyFont="1" applyBorder="1" applyAlignment="1">
      <alignment horizontal="right"/>
    </xf>
    <xf numFmtId="0" fontId="196" fillId="0" borderId="196" xfId="0" applyFont="1" applyBorder="1" applyAlignment="1">
      <alignment horizontal="right"/>
    </xf>
    <xf numFmtId="0" fontId="197" fillId="0" borderId="197" xfId="0" applyFont="1" applyBorder="1" applyAlignment="1">
      <alignment horizontal="right"/>
    </xf>
    <xf numFmtId="0" fontId="198" fillId="0" borderId="198" xfId="0" applyFont="1" applyBorder="1" applyAlignment="1">
      <alignment horizontal="right"/>
    </xf>
    <xf numFmtId="0" fontId="199" fillId="0" borderId="199" xfId="0" applyFont="1" applyBorder="1" applyAlignment="1">
      <alignment horizontal="right"/>
    </xf>
    <xf numFmtId="0" fontId="200" fillId="0" borderId="200" xfId="0" applyFont="1" applyBorder="1" applyAlignment="1">
      <alignment horizontal="right"/>
    </xf>
    <xf numFmtId="0" fontId="201" fillId="0" borderId="201" xfId="0" applyFont="1" applyBorder="1" applyAlignment="1">
      <alignment horizontal="right"/>
    </xf>
    <xf numFmtId="0" fontId="202" fillId="0" borderId="202" xfId="0" applyFont="1" applyBorder="1" applyAlignment="1">
      <alignment horizontal="right"/>
    </xf>
    <xf numFmtId="0" fontId="203" fillId="0" borderId="203" xfId="0" applyFont="1" applyBorder="1" applyAlignment="1">
      <alignment horizontal="right"/>
    </xf>
    <xf numFmtId="0" fontId="204" fillId="0" borderId="204" xfId="0" applyFont="1" applyBorder="1" applyAlignment="1">
      <alignment horizontal="right"/>
    </xf>
    <xf numFmtId="0" fontId="205" fillId="0" borderId="205" xfId="0" applyFont="1" applyBorder="1" applyAlignment="1">
      <alignment horizontal="right"/>
    </xf>
    <xf numFmtId="0" fontId="206" fillId="0" borderId="206" xfId="0" applyFont="1" applyBorder="1" applyAlignment="1">
      <alignment horizontal="right"/>
    </xf>
    <xf numFmtId="0" fontId="207" fillId="0" borderId="207" xfId="0" applyFont="1" applyBorder="1" applyAlignment="1">
      <alignment horizontal="right"/>
    </xf>
    <xf numFmtId="0" fontId="208" fillId="0" borderId="208" xfId="0" applyFont="1" applyBorder="1" applyAlignment="1">
      <alignment horizontal="right"/>
    </xf>
    <xf numFmtId="0" fontId="209" fillId="0" borderId="209" xfId="0" applyFont="1" applyBorder="1" applyAlignment="1">
      <alignment horizontal="right"/>
    </xf>
    <xf numFmtId="0" fontId="210" fillId="0" borderId="210" xfId="0" applyFont="1" applyBorder="1" applyAlignment="1">
      <alignment horizontal="right"/>
    </xf>
    <xf numFmtId="0" fontId="211" fillId="0" borderId="211" xfId="0" applyFont="1" applyBorder="1" applyAlignment="1">
      <alignment horizontal="right"/>
    </xf>
    <xf numFmtId="0" fontId="212" fillId="0" borderId="212" xfId="0" applyFont="1" applyBorder="1" applyAlignment="1">
      <alignment horizontal="right"/>
    </xf>
    <xf numFmtId="0" fontId="213" fillId="0" borderId="213" xfId="0" applyFont="1" applyBorder="1" applyAlignment="1">
      <alignment horizontal="right"/>
    </xf>
    <xf numFmtId="0" fontId="214" fillId="0" borderId="214" xfId="0" applyFont="1" applyBorder="1" applyAlignment="1">
      <alignment horizontal="right"/>
    </xf>
    <xf numFmtId="0" fontId="215" fillId="0" borderId="215" xfId="0" applyFont="1" applyBorder="1" applyAlignment="1">
      <alignment horizontal="right"/>
    </xf>
    <xf numFmtId="0" fontId="216" fillId="0" borderId="216" xfId="0" applyFont="1" applyBorder="1" applyAlignment="1">
      <alignment horizontal="right"/>
    </xf>
    <xf numFmtId="0" fontId="217" fillId="0" borderId="217" xfId="0" applyFont="1" applyBorder="1" applyAlignment="1">
      <alignment horizontal="right"/>
    </xf>
    <xf numFmtId="0" fontId="218" fillId="0" borderId="218" xfId="0" applyFont="1" applyBorder="1" applyAlignment="1">
      <alignment horizontal="right"/>
    </xf>
    <xf numFmtId="0" fontId="219" fillId="0" borderId="219" xfId="0" applyFont="1" applyBorder="1" applyAlignment="1">
      <alignment horizontal="right"/>
    </xf>
    <xf numFmtId="0" fontId="220" fillId="0" borderId="220" xfId="0" applyFont="1" applyBorder="1" applyAlignment="1">
      <alignment horizontal="right"/>
    </xf>
    <xf numFmtId="0" fontId="221" fillId="0" borderId="221" xfId="0" applyFont="1" applyBorder="1" applyAlignment="1">
      <alignment horizontal="right"/>
    </xf>
    <xf numFmtId="0" fontId="222" fillId="0" borderId="222" xfId="0" applyFont="1" applyBorder="1" applyAlignment="1">
      <alignment horizontal="right"/>
    </xf>
    <xf numFmtId="0" fontId="223" fillId="0" borderId="223" xfId="0" applyFont="1" applyBorder="1" applyAlignment="1">
      <alignment horizontal="right"/>
    </xf>
    <xf numFmtId="0" fontId="224" fillId="0" borderId="224" xfId="0" applyFont="1" applyBorder="1" applyAlignment="1">
      <alignment horizontal="right"/>
    </xf>
    <xf numFmtId="0" fontId="225" fillId="0" borderId="225" xfId="0" applyFont="1" applyBorder="1" applyAlignment="1">
      <alignment horizontal="right"/>
    </xf>
    <xf numFmtId="0" fontId="226" fillId="0" borderId="226" xfId="0" applyFont="1" applyBorder="1" applyAlignment="1">
      <alignment horizontal="right"/>
    </xf>
    <xf numFmtId="0" fontId="227" fillId="0" borderId="227" xfId="0" applyFont="1" applyBorder="1" applyAlignment="1">
      <alignment horizontal="right"/>
    </xf>
    <xf numFmtId="0" fontId="228" fillId="0" borderId="228" xfId="0" applyFont="1" applyBorder="1" applyAlignment="1">
      <alignment horizontal="right"/>
    </xf>
    <xf numFmtId="0" fontId="229" fillId="0" borderId="229" xfId="0" applyFont="1" applyBorder="1" applyAlignment="1">
      <alignment horizontal="right"/>
    </xf>
    <xf numFmtId="0" fontId="230" fillId="0" borderId="230" xfId="0" applyFont="1" applyBorder="1" applyAlignment="1">
      <alignment horizontal="right"/>
    </xf>
    <xf numFmtId="0" fontId="231" fillId="0" borderId="231" xfId="0" applyFont="1" applyBorder="1" applyAlignment="1">
      <alignment horizontal="right"/>
    </xf>
    <xf numFmtId="0" fontId="232" fillId="0" borderId="232" xfId="0" applyFont="1" applyBorder="1" applyAlignment="1">
      <alignment horizontal="right"/>
    </xf>
    <xf numFmtId="0" fontId="233" fillId="0" borderId="233" xfId="0" applyFont="1" applyBorder="1" applyAlignment="1">
      <alignment horizontal="right"/>
    </xf>
    <xf numFmtId="0" fontId="234" fillId="0" borderId="234" xfId="0" applyFont="1" applyBorder="1" applyAlignment="1">
      <alignment horizontal="right"/>
    </xf>
    <xf numFmtId="0" fontId="235" fillId="0" borderId="235" xfId="0" applyFont="1" applyBorder="1" applyAlignment="1">
      <alignment horizontal="right"/>
    </xf>
    <xf numFmtId="0" fontId="236" fillId="0" borderId="236" xfId="0" applyFont="1" applyBorder="1" applyAlignment="1">
      <alignment horizontal="right"/>
    </xf>
    <xf numFmtId="0" fontId="237" fillId="0" borderId="237" xfId="0" applyFont="1" applyBorder="1" applyAlignment="1">
      <alignment horizontal="right"/>
    </xf>
    <xf numFmtId="0" fontId="238" fillId="0" borderId="238" xfId="0" applyFont="1" applyBorder="1" applyAlignment="1">
      <alignment horizontal="right"/>
    </xf>
    <xf numFmtId="0" fontId="239" fillId="0" borderId="239" xfId="0" applyFont="1" applyBorder="1" applyAlignment="1">
      <alignment horizontal="right"/>
    </xf>
    <xf numFmtId="0" fontId="240" fillId="0" borderId="240" xfId="0" applyFont="1" applyBorder="1" applyAlignment="1">
      <alignment horizontal="right"/>
    </xf>
    <xf numFmtId="0" fontId="241" fillId="0" borderId="241" xfId="0" applyFont="1" applyBorder="1" applyAlignment="1">
      <alignment horizontal="right"/>
    </xf>
    <xf numFmtId="0" fontId="242" fillId="0" borderId="242" xfId="0" applyFont="1" applyBorder="1" applyAlignment="1">
      <alignment horizontal="right"/>
    </xf>
    <xf numFmtId="0" fontId="243" fillId="0" borderId="243" xfId="0" applyFont="1" applyBorder="1" applyAlignment="1">
      <alignment horizontal="right"/>
    </xf>
    <xf numFmtId="0" fontId="244" fillId="0" borderId="244" xfId="0" applyFont="1" applyBorder="1" applyAlignment="1">
      <alignment horizontal="right"/>
    </xf>
    <xf numFmtId="0" fontId="245" fillId="0" borderId="245" xfId="0" applyFont="1" applyBorder="1" applyAlignment="1">
      <alignment horizontal="right"/>
    </xf>
    <xf numFmtId="0" fontId="246" fillId="0" borderId="246" xfId="0" applyFont="1" applyBorder="1" applyAlignment="1">
      <alignment horizontal="right"/>
    </xf>
    <xf numFmtId="0" fontId="247" fillId="0" borderId="247" xfId="0" applyFont="1" applyBorder="1" applyAlignment="1">
      <alignment horizontal="right"/>
    </xf>
    <xf numFmtId="0" fontId="248" fillId="0" borderId="248" xfId="0" applyFont="1" applyBorder="1" applyAlignment="1">
      <alignment horizontal="right"/>
    </xf>
    <xf numFmtId="0" fontId="249" fillId="0" borderId="249" xfId="0" applyFont="1" applyBorder="1" applyAlignment="1">
      <alignment horizontal="right"/>
    </xf>
    <xf numFmtId="0" fontId="250" fillId="0" borderId="250" xfId="0" applyFont="1" applyBorder="1" applyAlignment="1">
      <alignment horizontal="right"/>
    </xf>
    <xf numFmtId="0" fontId="251" fillId="0" borderId="251" xfId="0" applyFont="1" applyBorder="1" applyAlignment="1">
      <alignment horizontal="right"/>
    </xf>
    <xf numFmtId="0" fontId="252" fillId="0" borderId="252" xfId="0" applyFont="1" applyBorder="1" applyAlignment="1">
      <alignment horizontal="right"/>
    </xf>
    <xf numFmtId="0" fontId="253" fillId="0" borderId="253" xfId="0" applyFont="1" applyBorder="1" applyAlignment="1">
      <alignment horizontal="right"/>
    </xf>
    <xf numFmtId="0" fontId="254" fillId="0" borderId="254" xfId="0" applyFont="1" applyBorder="1" applyAlignment="1">
      <alignment horizontal="right"/>
    </xf>
    <xf numFmtId="0" fontId="255" fillId="0" borderId="25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K36" sqref="K36"/>
    </sheetView>
  </sheetViews>
  <sheetFormatPr baseColWidth="10" defaultColWidth="8.83203125" defaultRowHeight="15" x14ac:dyDescent="0.2"/>
  <cols>
    <col min="8" max="8" width="15" customWidth="1"/>
  </cols>
  <sheetData>
    <row r="1" spans="1:9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I1" s="3" t="s">
        <v>2</v>
      </c>
    </row>
    <row r="2" spans="1:9" x14ac:dyDescent="0.2">
      <c r="A2" s="6" t="s">
        <v>5</v>
      </c>
      <c r="B2" s="7">
        <v>0.99545399999999995</v>
      </c>
      <c r="C2" s="8">
        <v>0.98199999999999998</v>
      </c>
      <c r="D2" s="9">
        <v>0.67713040000000002</v>
      </c>
      <c r="E2" s="10">
        <v>1.4634240000000001</v>
      </c>
      <c r="G2">
        <f>ROUND(B2,2)</f>
        <v>1</v>
      </c>
      <c r="H2" t="str">
        <f>"[" &amp; ROUND(D2,2) &amp; ", " &amp; ROUND(E2,2) &amp; "]"</f>
        <v>[0.68, 1.46]</v>
      </c>
      <c r="I2" s="8">
        <v>0.98199999999999998</v>
      </c>
    </row>
    <row r="3" spans="1:9" x14ac:dyDescent="0.2">
      <c r="A3" s="11" t="s">
        <v>6</v>
      </c>
      <c r="B3" s="12">
        <v>0.90427539999999995</v>
      </c>
      <c r="C3" s="13">
        <v>0.55600000000000005</v>
      </c>
      <c r="D3" s="14">
        <v>0.64705049999999997</v>
      </c>
      <c r="E3" s="15">
        <v>1.2637560000000001</v>
      </c>
      <c r="G3">
        <f t="shared" ref="G3:G50" si="0">ROUND(B3,2)</f>
        <v>0.9</v>
      </c>
      <c r="H3" t="str">
        <f t="shared" ref="H3:H50" si="1">"[" &amp; ROUND(D3,2) &amp; ", " &amp; ROUND(E3,2) &amp; "]"</f>
        <v>[0.65, 1.26]</v>
      </c>
      <c r="I3" s="13">
        <v>0.55600000000000005</v>
      </c>
    </row>
    <row r="4" spans="1:9" x14ac:dyDescent="0.2">
      <c r="A4" s="16" t="s">
        <v>7</v>
      </c>
      <c r="B4" s="17">
        <v>1.315053</v>
      </c>
      <c r="C4" s="18">
        <v>0.13600000000000001</v>
      </c>
      <c r="D4" s="19">
        <v>0.91748390000000002</v>
      </c>
      <c r="E4" s="20">
        <v>1.8849</v>
      </c>
      <c r="G4">
        <f t="shared" si="0"/>
        <v>1.32</v>
      </c>
      <c r="H4" t="str">
        <f t="shared" si="1"/>
        <v>[0.92, 1.88]</v>
      </c>
      <c r="I4" s="18">
        <v>0.13600000000000001</v>
      </c>
    </row>
    <row r="5" spans="1:9" x14ac:dyDescent="0.2">
      <c r="A5" s="21" t="s">
        <v>8</v>
      </c>
      <c r="B5" s="22">
        <v>1.221684</v>
      </c>
      <c r="C5" s="23">
        <v>0.33200000000000002</v>
      </c>
      <c r="D5" s="24">
        <v>0.81495759999999995</v>
      </c>
      <c r="E5" s="25">
        <v>1.8313980000000001</v>
      </c>
      <c r="G5">
        <f t="shared" si="0"/>
        <v>1.22</v>
      </c>
      <c r="H5" t="str">
        <f t="shared" si="1"/>
        <v>[0.81, 1.83]</v>
      </c>
      <c r="I5" s="23">
        <v>0.33200000000000002</v>
      </c>
    </row>
    <row r="6" spans="1:9" x14ac:dyDescent="0.2">
      <c r="A6" s="26" t="s">
        <v>9</v>
      </c>
      <c r="B6" s="27">
        <v>1.07134</v>
      </c>
      <c r="C6" s="28">
        <v>0.88500000000000001</v>
      </c>
      <c r="D6" s="29">
        <v>0.4224155</v>
      </c>
      <c r="E6" s="30">
        <v>2.717158</v>
      </c>
      <c r="G6">
        <f t="shared" si="0"/>
        <v>1.07</v>
      </c>
      <c r="H6" t="str">
        <f t="shared" si="1"/>
        <v>[0.42, 2.72]</v>
      </c>
      <c r="I6" s="28">
        <v>0.88500000000000001</v>
      </c>
    </row>
    <row r="7" spans="1:9" x14ac:dyDescent="0.2">
      <c r="A7" s="31" t="s">
        <v>10</v>
      </c>
      <c r="B7" s="32">
        <v>1.012748</v>
      </c>
      <c r="C7" s="33">
        <v>0.96399999999999997</v>
      </c>
      <c r="D7" s="34">
        <v>0.58588899999999999</v>
      </c>
      <c r="E7" s="35">
        <v>1.7506029999999999</v>
      </c>
      <c r="G7">
        <f t="shared" si="0"/>
        <v>1.01</v>
      </c>
      <c r="H7" t="str">
        <f t="shared" si="1"/>
        <v>[0.59, 1.75]</v>
      </c>
      <c r="I7" s="33">
        <v>0.96399999999999997</v>
      </c>
    </row>
    <row r="8" spans="1:9" x14ac:dyDescent="0.2">
      <c r="A8" s="36" t="s">
        <v>11</v>
      </c>
      <c r="B8" s="37">
        <v>1.011069</v>
      </c>
      <c r="C8" s="38">
        <v>0.96799999999999997</v>
      </c>
      <c r="D8" s="39">
        <v>0.59448880000000004</v>
      </c>
      <c r="E8" s="40">
        <v>1.719563</v>
      </c>
      <c r="G8">
        <f t="shared" si="0"/>
        <v>1.01</v>
      </c>
      <c r="H8" t="str">
        <f t="shared" si="1"/>
        <v>[0.59, 1.72]</v>
      </c>
      <c r="I8" s="38">
        <v>0.96799999999999997</v>
      </c>
    </row>
    <row r="9" spans="1:9" x14ac:dyDescent="0.2">
      <c r="A9" s="41" t="s">
        <v>12</v>
      </c>
      <c r="B9" s="42">
        <v>12.831849999999999</v>
      </c>
      <c r="C9" s="43">
        <v>0</v>
      </c>
      <c r="D9" s="44">
        <v>9.6226789999999998</v>
      </c>
      <c r="E9" s="45">
        <v>17.111270000000001</v>
      </c>
      <c r="G9">
        <f t="shared" si="0"/>
        <v>12.83</v>
      </c>
      <c r="H9" t="str">
        <f t="shared" si="1"/>
        <v>[9.62, 17.11]</v>
      </c>
      <c r="I9" s="43">
        <v>0</v>
      </c>
    </row>
    <row r="10" spans="1:9" x14ac:dyDescent="0.2">
      <c r="A10" s="46" t="s">
        <v>13</v>
      </c>
      <c r="B10" s="47">
        <v>0.92675870000000005</v>
      </c>
      <c r="C10" s="48">
        <v>0.80700000000000005</v>
      </c>
      <c r="D10" s="49">
        <v>0.50369439999999999</v>
      </c>
      <c r="E10" s="50">
        <v>1.7051639999999999</v>
      </c>
      <c r="G10">
        <f t="shared" si="0"/>
        <v>0.93</v>
      </c>
      <c r="H10" t="str">
        <f t="shared" si="1"/>
        <v>[0.5, 1.71]</v>
      </c>
      <c r="I10" s="48">
        <v>0.80700000000000005</v>
      </c>
    </row>
    <row r="11" spans="1:9" x14ac:dyDescent="0.2">
      <c r="A11" s="51" t="s">
        <v>14</v>
      </c>
      <c r="B11" s="52">
        <v>0.71004009999999995</v>
      </c>
      <c r="C11" s="53">
        <v>0</v>
      </c>
      <c r="D11" s="54">
        <v>0.66344179999999997</v>
      </c>
      <c r="E11" s="55">
        <v>0.75991129999999996</v>
      </c>
      <c r="G11">
        <f t="shared" si="0"/>
        <v>0.71</v>
      </c>
      <c r="H11" t="str">
        <f t="shared" si="1"/>
        <v>[0.66, 0.76]</v>
      </c>
      <c r="I11" s="53">
        <v>0</v>
      </c>
    </row>
    <row r="12" spans="1:9" x14ac:dyDescent="0.2">
      <c r="A12" s="56" t="s">
        <v>15</v>
      </c>
      <c r="B12" s="57">
        <v>8.5954180000000004</v>
      </c>
      <c r="C12" s="58">
        <v>0</v>
      </c>
      <c r="D12" s="59">
        <v>4.0341709999999997</v>
      </c>
      <c r="E12" s="60">
        <v>18.313849999999999</v>
      </c>
      <c r="G12">
        <f t="shared" si="0"/>
        <v>8.6</v>
      </c>
      <c r="H12" t="str">
        <f t="shared" si="1"/>
        <v>[4.03, 18.31]</v>
      </c>
      <c r="I12" s="58">
        <v>0</v>
      </c>
    </row>
    <row r="13" spans="1:9" x14ac:dyDescent="0.2">
      <c r="A13" s="61" t="s">
        <v>16</v>
      </c>
      <c r="B13" s="62">
        <v>1.248642</v>
      </c>
      <c r="C13" s="63">
        <v>0.214</v>
      </c>
      <c r="D13" s="64">
        <v>0.8795461</v>
      </c>
      <c r="E13" s="65">
        <v>1.7726249999999999</v>
      </c>
      <c r="G13">
        <f t="shared" si="0"/>
        <v>1.25</v>
      </c>
      <c r="H13" t="str">
        <f t="shared" si="1"/>
        <v>[0.88, 1.77]</v>
      </c>
      <c r="I13" s="63">
        <v>0.214</v>
      </c>
    </row>
    <row r="14" spans="1:9" x14ac:dyDescent="0.2">
      <c r="A14" s="66" t="s">
        <v>17</v>
      </c>
      <c r="B14" s="67">
        <v>0.94484429999999997</v>
      </c>
      <c r="C14" s="68">
        <v>0.89200000000000002</v>
      </c>
      <c r="D14" s="69">
        <v>0.4173578</v>
      </c>
      <c r="E14" s="70">
        <v>2.1390060000000002</v>
      </c>
      <c r="G14">
        <f t="shared" si="0"/>
        <v>0.94</v>
      </c>
      <c r="H14" t="str">
        <f t="shared" si="1"/>
        <v>[0.42, 2.14]</v>
      </c>
      <c r="I14" s="68">
        <v>0.89200000000000002</v>
      </c>
    </row>
    <row r="15" spans="1:9" x14ac:dyDescent="0.2">
      <c r="A15" s="71" t="s">
        <v>18</v>
      </c>
      <c r="B15" s="72">
        <v>0.59009270000000003</v>
      </c>
      <c r="C15" s="73">
        <v>2.3E-2</v>
      </c>
      <c r="D15" s="74">
        <v>0.37453750000000002</v>
      </c>
      <c r="E15" s="75">
        <v>0.92970520000000001</v>
      </c>
      <c r="G15">
        <f t="shared" si="0"/>
        <v>0.59</v>
      </c>
      <c r="H15" t="str">
        <f t="shared" si="1"/>
        <v>[0.37, 0.93]</v>
      </c>
      <c r="I15" s="73">
        <v>2.3E-2</v>
      </c>
    </row>
    <row r="16" spans="1:9" x14ac:dyDescent="0.2">
      <c r="A16" s="76" t="s">
        <v>19</v>
      </c>
      <c r="B16" s="77">
        <v>1.088403</v>
      </c>
      <c r="C16" s="78">
        <v>0.72299999999999998</v>
      </c>
      <c r="D16" s="79">
        <v>0.6815755</v>
      </c>
      <c r="E16" s="80">
        <v>1.738062</v>
      </c>
      <c r="G16">
        <f t="shared" si="0"/>
        <v>1.0900000000000001</v>
      </c>
      <c r="H16" t="str">
        <f t="shared" si="1"/>
        <v>[0.68, 1.74]</v>
      </c>
      <c r="I16" s="78">
        <v>0.72299999999999998</v>
      </c>
    </row>
    <row r="17" spans="1:9" x14ac:dyDescent="0.2">
      <c r="A17" s="81" t="s">
        <v>20</v>
      </c>
      <c r="B17" s="82">
        <v>1.386377</v>
      </c>
      <c r="C17" s="83">
        <v>0.80600000000000005</v>
      </c>
      <c r="D17" s="84">
        <v>0.10207479999999999</v>
      </c>
      <c r="E17" s="85">
        <v>18.829730000000001</v>
      </c>
      <c r="G17">
        <f t="shared" si="0"/>
        <v>1.39</v>
      </c>
      <c r="H17" t="str">
        <f t="shared" si="1"/>
        <v>[0.1, 18.83]</v>
      </c>
      <c r="I17" s="83">
        <v>0.80600000000000005</v>
      </c>
    </row>
    <row r="18" spans="1:9" x14ac:dyDescent="0.2">
      <c r="A18" s="86" t="s">
        <v>21</v>
      </c>
      <c r="B18" s="87">
        <v>1.033226</v>
      </c>
      <c r="C18" s="88">
        <v>0.752</v>
      </c>
      <c r="D18" s="89">
        <v>0.84367130000000001</v>
      </c>
      <c r="E18" s="90">
        <v>1.265369</v>
      </c>
      <c r="G18">
        <f t="shared" si="0"/>
        <v>1.03</v>
      </c>
      <c r="H18" t="str">
        <f t="shared" si="1"/>
        <v>[0.84, 1.27]</v>
      </c>
      <c r="I18" s="88">
        <v>0.752</v>
      </c>
    </row>
    <row r="19" spans="1:9" x14ac:dyDescent="0.2">
      <c r="A19" s="91" t="s">
        <v>22</v>
      </c>
      <c r="B19" s="92">
        <v>1.3600890000000001</v>
      </c>
      <c r="C19" s="93">
        <v>0</v>
      </c>
      <c r="D19" s="94">
        <v>1.203346</v>
      </c>
      <c r="E19" s="95">
        <v>1.5372479999999999</v>
      </c>
      <c r="G19">
        <f t="shared" si="0"/>
        <v>1.36</v>
      </c>
      <c r="H19" t="str">
        <f t="shared" si="1"/>
        <v>[1.2, 1.54]</v>
      </c>
      <c r="I19" s="93">
        <v>0</v>
      </c>
    </row>
    <row r="20" spans="1:9" x14ac:dyDescent="0.2">
      <c r="A20" s="96" t="s">
        <v>23</v>
      </c>
      <c r="B20" s="97">
        <v>1.4189989999999999</v>
      </c>
      <c r="C20" s="98">
        <v>2.7E-2</v>
      </c>
      <c r="D20" s="99">
        <v>1.0404640000000001</v>
      </c>
      <c r="E20" s="100">
        <v>1.9352499999999999</v>
      </c>
      <c r="G20">
        <f t="shared" si="0"/>
        <v>1.42</v>
      </c>
      <c r="H20" t="str">
        <f t="shared" si="1"/>
        <v>[1.04, 1.94]</v>
      </c>
      <c r="I20" s="98">
        <v>2.7E-2</v>
      </c>
    </row>
    <row r="21" spans="1:9" x14ac:dyDescent="0.2">
      <c r="A21" s="101" t="s">
        <v>24</v>
      </c>
      <c r="B21" s="102">
        <v>1.512564</v>
      </c>
      <c r="C21" s="103">
        <v>0.04</v>
      </c>
      <c r="D21" s="104">
        <v>1.019976</v>
      </c>
      <c r="E21" s="105">
        <v>2.2430439999999998</v>
      </c>
      <c r="G21">
        <f t="shared" si="0"/>
        <v>1.51</v>
      </c>
      <c r="H21" t="str">
        <f t="shared" si="1"/>
        <v>[1.02, 2.24]</v>
      </c>
      <c r="I21" s="103">
        <v>0.04</v>
      </c>
    </row>
    <row r="22" spans="1:9" x14ac:dyDescent="0.2">
      <c r="A22" s="106" t="s">
        <v>25</v>
      </c>
      <c r="B22" s="107">
        <v>1.1895450000000001</v>
      </c>
      <c r="C22" s="108">
        <v>0.11700000000000001</v>
      </c>
      <c r="D22" s="109">
        <v>0.95741830000000006</v>
      </c>
      <c r="E22" s="110">
        <v>1.4779519999999999</v>
      </c>
      <c r="G22">
        <f t="shared" si="0"/>
        <v>1.19</v>
      </c>
      <c r="H22" t="str">
        <f t="shared" si="1"/>
        <v>[0.96, 1.48]</v>
      </c>
      <c r="I22" s="108">
        <v>0.11700000000000001</v>
      </c>
    </row>
    <row r="23" spans="1:9" x14ac:dyDescent="0.2">
      <c r="A23" s="111" t="s">
        <v>26</v>
      </c>
      <c r="B23" s="112">
        <v>0.8353834</v>
      </c>
      <c r="C23" s="113">
        <v>0.437</v>
      </c>
      <c r="D23" s="114">
        <v>0.53092260000000002</v>
      </c>
      <c r="E23" s="115">
        <v>1.3144389999999999</v>
      </c>
      <c r="G23">
        <f t="shared" si="0"/>
        <v>0.84</v>
      </c>
      <c r="H23" t="str">
        <f t="shared" si="1"/>
        <v>[0.53, 1.31]</v>
      </c>
      <c r="I23" s="113">
        <v>0.437</v>
      </c>
    </row>
    <row r="24" spans="1:9" x14ac:dyDescent="0.2">
      <c r="A24" s="116" t="s">
        <v>27</v>
      </c>
      <c r="B24" s="117">
        <v>1.255914</v>
      </c>
      <c r="C24" s="118">
        <v>0.23300000000000001</v>
      </c>
      <c r="D24" s="119">
        <v>0.86338700000000002</v>
      </c>
      <c r="E24" s="120">
        <v>1.8268979999999999</v>
      </c>
      <c r="G24">
        <f t="shared" si="0"/>
        <v>1.26</v>
      </c>
      <c r="H24" t="str">
        <f t="shared" si="1"/>
        <v>[0.86, 1.83]</v>
      </c>
      <c r="I24" s="118">
        <v>0.23300000000000001</v>
      </c>
    </row>
    <row r="25" spans="1:9" x14ac:dyDescent="0.2">
      <c r="A25" s="121" t="s">
        <v>28</v>
      </c>
      <c r="B25" s="122">
        <v>1.233052</v>
      </c>
      <c r="C25" s="123">
        <v>4.9000000000000002E-2</v>
      </c>
      <c r="D25" s="124">
        <v>1.000945</v>
      </c>
      <c r="E25" s="125">
        <v>1.5189809999999999</v>
      </c>
      <c r="G25">
        <f t="shared" si="0"/>
        <v>1.23</v>
      </c>
      <c r="H25" t="str">
        <f t="shared" si="1"/>
        <v>[1, 1.52]</v>
      </c>
      <c r="I25" s="123">
        <v>4.9000000000000002E-2</v>
      </c>
    </row>
    <row r="26" spans="1:9" x14ac:dyDescent="0.2">
      <c r="A26" s="126" t="s">
        <v>29</v>
      </c>
      <c r="B26" s="127">
        <v>0.87478889999999998</v>
      </c>
      <c r="C26" s="128">
        <v>0.223</v>
      </c>
      <c r="D26" s="129">
        <v>0.70544359999999995</v>
      </c>
      <c r="E26" s="130">
        <v>1.084786</v>
      </c>
      <c r="G26">
        <f t="shared" si="0"/>
        <v>0.87</v>
      </c>
      <c r="H26" t="str">
        <f t="shared" si="1"/>
        <v>[0.71, 1.08]</v>
      </c>
      <c r="I26" s="128">
        <v>0.223</v>
      </c>
    </row>
    <row r="27" spans="1:9" x14ac:dyDescent="0.2">
      <c r="A27" s="131" t="s">
        <v>30</v>
      </c>
      <c r="B27" s="132">
        <v>1</v>
      </c>
      <c r="C27" s="133" t="s">
        <v>4</v>
      </c>
      <c r="D27" s="134" t="s">
        <v>4</v>
      </c>
      <c r="E27" s="135" t="s">
        <v>4</v>
      </c>
      <c r="G27">
        <f t="shared" si="0"/>
        <v>1</v>
      </c>
      <c r="H27" t="e">
        <f t="shared" si="1"/>
        <v>#VALUE!</v>
      </c>
      <c r="I27" s="133" t="s">
        <v>4</v>
      </c>
    </row>
    <row r="28" spans="1:9" x14ac:dyDescent="0.2">
      <c r="A28" s="136" t="s">
        <v>31</v>
      </c>
      <c r="B28" s="137">
        <v>0.24413370000000001</v>
      </c>
      <c r="C28" s="138">
        <v>1E-3</v>
      </c>
      <c r="D28" s="139">
        <v>0.1083421</v>
      </c>
      <c r="E28" s="140">
        <v>0.55012079999999997</v>
      </c>
      <c r="G28">
        <f t="shared" si="0"/>
        <v>0.24</v>
      </c>
      <c r="H28" t="str">
        <f t="shared" si="1"/>
        <v>[0.11, 0.55]</v>
      </c>
      <c r="I28" s="138">
        <v>1E-3</v>
      </c>
    </row>
    <row r="29" spans="1:9" x14ac:dyDescent="0.2">
      <c r="A29" s="141" t="s">
        <v>32</v>
      </c>
      <c r="B29" s="142">
        <v>0.48032599999999998</v>
      </c>
      <c r="C29" s="143">
        <v>8.3000000000000004E-2</v>
      </c>
      <c r="D29" s="144">
        <v>0.20976</v>
      </c>
      <c r="E29" s="145">
        <v>1.099891</v>
      </c>
      <c r="G29">
        <f t="shared" si="0"/>
        <v>0.48</v>
      </c>
      <c r="H29" t="str">
        <f t="shared" si="1"/>
        <v>[0.21, 1.1]</v>
      </c>
      <c r="I29" s="143">
        <v>8.3000000000000004E-2</v>
      </c>
    </row>
    <row r="30" spans="1:9" x14ac:dyDescent="0.2">
      <c r="A30" s="146" t="s">
        <v>33</v>
      </c>
      <c r="B30" s="147">
        <v>0.1376242</v>
      </c>
      <c r="C30" s="148">
        <v>0</v>
      </c>
      <c r="D30" s="149">
        <v>6.3653299999999996E-2</v>
      </c>
      <c r="E30" s="150">
        <v>0.29755609999999999</v>
      </c>
      <c r="G30">
        <f t="shared" si="0"/>
        <v>0.14000000000000001</v>
      </c>
      <c r="H30" t="str">
        <f t="shared" si="1"/>
        <v>[0.06, 0.3]</v>
      </c>
      <c r="I30" s="148">
        <v>0</v>
      </c>
    </row>
    <row r="31" spans="1:9" x14ac:dyDescent="0.2">
      <c r="A31" s="151" t="s">
        <v>34</v>
      </c>
      <c r="B31" s="152">
        <v>0.15997919999999999</v>
      </c>
      <c r="C31" s="153">
        <v>0</v>
      </c>
      <c r="D31" s="154">
        <v>7.4105500000000005E-2</v>
      </c>
      <c r="E31" s="155">
        <v>0.34536359999999999</v>
      </c>
      <c r="G31">
        <f t="shared" si="0"/>
        <v>0.16</v>
      </c>
      <c r="H31" t="str">
        <f t="shared" si="1"/>
        <v>[0.07, 0.35]</v>
      </c>
      <c r="I31" s="153">
        <v>0</v>
      </c>
    </row>
    <row r="32" spans="1:9" x14ac:dyDescent="0.2">
      <c r="A32" s="156" t="s">
        <v>35</v>
      </c>
      <c r="B32" s="157">
        <v>1</v>
      </c>
      <c r="C32" s="158" t="s">
        <v>4</v>
      </c>
      <c r="D32" s="159" t="s">
        <v>4</v>
      </c>
      <c r="E32" s="160" t="s">
        <v>4</v>
      </c>
      <c r="G32">
        <f t="shared" si="0"/>
        <v>1</v>
      </c>
      <c r="H32" t="e">
        <f t="shared" si="1"/>
        <v>#VALUE!</v>
      </c>
      <c r="I32" s="158" t="s">
        <v>4</v>
      </c>
    </row>
    <row r="33" spans="1:9" x14ac:dyDescent="0.2">
      <c r="A33" s="161" t="s">
        <v>36</v>
      </c>
      <c r="B33" s="162">
        <v>1.589113</v>
      </c>
      <c r="C33" s="163">
        <v>4.1000000000000002E-2</v>
      </c>
      <c r="D33" s="164">
        <v>1.0198290000000001</v>
      </c>
      <c r="E33" s="165">
        <v>2.4761799999999998</v>
      </c>
      <c r="G33">
        <f t="shared" si="0"/>
        <v>1.59</v>
      </c>
      <c r="H33" t="str">
        <f t="shared" si="1"/>
        <v>[1.02, 2.48]</v>
      </c>
      <c r="I33" s="163">
        <v>4.1000000000000002E-2</v>
      </c>
    </row>
    <row r="34" spans="1:9" x14ac:dyDescent="0.2">
      <c r="A34" s="166" t="s">
        <v>37</v>
      </c>
      <c r="B34" s="167">
        <v>0.81535930000000001</v>
      </c>
      <c r="C34" s="168">
        <v>0.30599999999999999</v>
      </c>
      <c r="D34" s="169">
        <v>0.55141969999999996</v>
      </c>
      <c r="E34" s="170">
        <v>1.205635</v>
      </c>
      <c r="G34">
        <f t="shared" si="0"/>
        <v>0.82</v>
      </c>
      <c r="H34" t="str">
        <f t="shared" si="1"/>
        <v>[0.55, 1.21]</v>
      </c>
      <c r="I34" s="168">
        <v>0.30599999999999999</v>
      </c>
    </row>
    <row r="35" spans="1:9" x14ac:dyDescent="0.2">
      <c r="A35" s="171" t="s">
        <v>38</v>
      </c>
      <c r="B35" s="172">
        <v>1.327215</v>
      </c>
      <c r="C35" s="173">
        <v>5.1999999999999998E-2</v>
      </c>
      <c r="D35" s="174">
        <v>0.9979557</v>
      </c>
      <c r="E35" s="175">
        <v>1.7651079999999999</v>
      </c>
      <c r="G35">
        <f t="shared" si="0"/>
        <v>1.33</v>
      </c>
      <c r="H35" t="str">
        <f t="shared" si="1"/>
        <v>[1, 1.77]</v>
      </c>
      <c r="I35" s="173">
        <v>5.1999999999999998E-2</v>
      </c>
    </row>
    <row r="36" spans="1:9" x14ac:dyDescent="0.2">
      <c r="A36" s="176" t="s">
        <v>39</v>
      </c>
      <c r="B36" s="177">
        <v>0.99975760000000002</v>
      </c>
      <c r="C36" s="178">
        <v>0.999</v>
      </c>
      <c r="D36" s="179">
        <v>0.482713</v>
      </c>
      <c r="E36" s="180">
        <v>2.0706199999999999</v>
      </c>
      <c r="G36">
        <f t="shared" si="0"/>
        <v>1</v>
      </c>
      <c r="H36" t="str">
        <f t="shared" si="1"/>
        <v>[0.48, 2.07]</v>
      </c>
      <c r="I36" s="178">
        <v>0.999</v>
      </c>
    </row>
    <row r="37" spans="1:9" x14ac:dyDescent="0.2">
      <c r="A37" s="181" t="s">
        <v>40</v>
      </c>
      <c r="B37" s="182">
        <v>0.73307990000000001</v>
      </c>
      <c r="C37" s="183">
        <v>0.5</v>
      </c>
      <c r="D37" s="184">
        <v>0.29751280000000002</v>
      </c>
      <c r="E37" s="185">
        <v>1.80633</v>
      </c>
      <c r="G37">
        <f t="shared" si="0"/>
        <v>0.73</v>
      </c>
      <c r="H37" t="str">
        <f t="shared" si="1"/>
        <v>[0.3, 1.81]</v>
      </c>
      <c r="I37" s="183">
        <v>0.5</v>
      </c>
    </row>
    <row r="38" spans="1:9" x14ac:dyDescent="0.2">
      <c r="A38" s="186" t="s">
        <v>41</v>
      </c>
      <c r="B38" s="187">
        <v>1</v>
      </c>
      <c r="C38" s="188" t="s">
        <v>4</v>
      </c>
      <c r="D38" s="189" t="s">
        <v>4</v>
      </c>
      <c r="E38" s="190" t="s">
        <v>4</v>
      </c>
      <c r="G38">
        <f t="shared" si="0"/>
        <v>1</v>
      </c>
      <c r="H38" t="e">
        <f t="shared" si="1"/>
        <v>#VALUE!</v>
      </c>
      <c r="I38" s="188" t="s">
        <v>4</v>
      </c>
    </row>
    <row r="39" spans="1:9" x14ac:dyDescent="0.2">
      <c r="A39" s="191" t="s">
        <v>42</v>
      </c>
      <c r="B39" s="192">
        <v>0.95389659999999998</v>
      </c>
      <c r="C39" s="193">
        <v>0.82</v>
      </c>
      <c r="D39" s="194">
        <v>0.63589720000000005</v>
      </c>
      <c r="E39" s="195">
        <v>1.4309210000000001</v>
      </c>
      <c r="G39">
        <f t="shared" si="0"/>
        <v>0.95</v>
      </c>
      <c r="H39" t="str">
        <f t="shared" si="1"/>
        <v>[0.64, 1.43]</v>
      </c>
      <c r="I39" s="193">
        <v>0.82</v>
      </c>
    </row>
    <row r="40" spans="1:9" x14ac:dyDescent="0.2">
      <c r="A40" s="196" t="s">
        <v>43</v>
      </c>
      <c r="B40" s="197">
        <v>1.2106570000000001</v>
      </c>
      <c r="C40" s="198">
        <v>0.50700000000000001</v>
      </c>
      <c r="D40" s="199">
        <v>0.6881043</v>
      </c>
      <c r="E40" s="200">
        <v>2.1300400000000002</v>
      </c>
      <c r="G40">
        <f t="shared" si="0"/>
        <v>1.21</v>
      </c>
      <c r="H40" t="str">
        <f t="shared" si="1"/>
        <v>[0.69, 2.13]</v>
      </c>
      <c r="I40" s="198">
        <v>0.50700000000000001</v>
      </c>
    </row>
    <row r="41" spans="1:9" x14ac:dyDescent="0.2">
      <c r="A41" s="201" t="s">
        <v>44</v>
      </c>
      <c r="B41" s="202">
        <v>1.9577580000000001</v>
      </c>
      <c r="C41" s="203">
        <v>5.5E-2</v>
      </c>
      <c r="D41" s="204">
        <v>0.98621639999999999</v>
      </c>
      <c r="E41" s="205">
        <v>3.8863840000000001</v>
      </c>
      <c r="G41">
        <f t="shared" si="0"/>
        <v>1.96</v>
      </c>
      <c r="H41" t="str">
        <f t="shared" si="1"/>
        <v>[0.99, 3.89]</v>
      </c>
      <c r="I41" s="203">
        <v>5.5E-2</v>
      </c>
    </row>
    <row r="42" spans="1:9" x14ac:dyDescent="0.2">
      <c r="A42" s="206" t="s">
        <v>45</v>
      </c>
      <c r="B42" s="207">
        <v>0.52711090000000005</v>
      </c>
      <c r="C42" s="208">
        <v>0.61799999999999999</v>
      </c>
      <c r="D42" s="209">
        <v>4.2502600000000001E-2</v>
      </c>
      <c r="E42" s="210">
        <v>6.5371519999999999</v>
      </c>
      <c r="G42">
        <f t="shared" si="0"/>
        <v>0.53</v>
      </c>
      <c r="H42" t="str">
        <f t="shared" si="1"/>
        <v>[0.04, 6.54]</v>
      </c>
      <c r="I42" s="208">
        <v>0.61799999999999999</v>
      </c>
    </row>
    <row r="43" spans="1:9" x14ac:dyDescent="0.2">
      <c r="A43" s="211" t="s">
        <v>46</v>
      </c>
      <c r="B43" s="212">
        <v>1.654023</v>
      </c>
      <c r="C43" s="213">
        <v>0.31</v>
      </c>
      <c r="D43" s="214">
        <v>0.62636800000000004</v>
      </c>
      <c r="E43" s="215">
        <v>4.3677060000000001</v>
      </c>
      <c r="G43">
        <f t="shared" si="0"/>
        <v>1.65</v>
      </c>
      <c r="H43" t="str">
        <f t="shared" si="1"/>
        <v>[0.63, 4.37]</v>
      </c>
      <c r="I43" s="213">
        <v>0.31</v>
      </c>
    </row>
    <row r="44" spans="1:9" x14ac:dyDescent="0.2">
      <c r="A44" s="216" t="s">
        <v>47</v>
      </c>
      <c r="B44" s="217">
        <v>7.1503889999999997</v>
      </c>
      <c r="C44" s="218">
        <v>1.7999999999999999E-2</v>
      </c>
      <c r="D44" s="219">
        <v>1.392328</v>
      </c>
      <c r="E44" s="220">
        <v>36.72128</v>
      </c>
      <c r="G44">
        <f t="shared" si="0"/>
        <v>7.15</v>
      </c>
      <c r="H44" t="str">
        <f t="shared" si="1"/>
        <v>[1.39, 36.72]</v>
      </c>
      <c r="I44" s="218">
        <v>1.7999999999999999E-2</v>
      </c>
    </row>
    <row r="45" spans="1:9" x14ac:dyDescent="0.2">
      <c r="A45" s="221" t="s">
        <v>48</v>
      </c>
      <c r="B45" s="222">
        <v>1.3509910000000001</v>
      </c>
      <c r="C45" s="223">
        <v>0.34899999999999998</v>
      </c>
      <c r="D45" s="224">
        <v>0.71968089999999996</v>
      </c>
      <c r="E45" s="225">
        <v>2.5360930000000002</v>
      </c>
      <c r="G45">
        <f t="shared" si="0"/>
        <v>1.35</v>
      </c>
      <c r="H45" t="str">
        <f t="shared" si="1"/>
        <v>[0.72, 2.54]</v>
      </c>
      <c r="I45" s="223">
        <v>0.34899999999999998</v>
      </c>
    </row>
    <row r="46" spans="1:9" x14ac:dyDescent="0.2">
      <c r="A46" s="226" t="s">
        <v>49</v>
      </c>
      <c r="B46" s="227">
        <v>9.5211469999999991</v>
      </c>
      <c r="C46" s="228">
        <v>0</v>
      </c>
      <c r="D46" s="229">
        <v>4.4025410000000003</v>
      </c>
      <c r="E46" s="230">
        <v>20.590890000000002</v>
      </c>
      <c r="G46">
        <f t="shared" si="0"/>
        <v>9.52</v>
      </c>
      <c r="H46" t="str">
        <f t="shared" si="1"/>
        <v>[4.4, 20.59]</v>
      </c>
      <c r="I46" s="228">
        <v>0</v>
      </c>
    </row>
    <row r="47" spans="1:9" x14ac:dyDescent="0.2">
      <c r="A47" s="231" t="s">
        <v>50</v>
      </c>
      <c r="B47" s="232">
        <v>6.8452000000000001E-3</v>
      </c>
      <c r="C47" s="233">
        <v>0</v>
      </c>
      <c r="D47" s="234">
        <v>5.3626999999999998E-3</v>
      </c>
      <c r="E47" s="235">
        <v>8.7375999999999999E-3</v>
      </c>
      <c r="G47">
        <f t="shared" si="0"/>
        <v>0.01</v>
      </c>
      <c r="H47" t="str">
        <f t="shared" si="1"/>
        <v>[0.01, 0.01]</v>
      </c>
      <c r="I47" s="233">
        <v>0</v>
      </c>
    </row>
    <row r="48" spans="1:9" x14ac:dyDescent="0.2">
      <c r="A48" s="236" t="s">
        <v>51</v>
      </c>
      <c r="B48" s="237">
        <v>0.99854220000000005</v>
      </c>
      <c r="C48" s="238">
        <v>0.996</v>
      </c>
      <c r="D48" s="239">
        <v>0.59077809999999997</v>
      </c>
      <c r="E48" s="240">
        <v>1.687751</v>
      </c>
      <c r="G48">
        <f t="shared" si="0"/>
        <v>1</v>
      </c>
      <c r="H48" t="str">
        <f t="shared" si="1"/>
        <v>[0.59, 1.69]</v>
      </c>
      <c r="I48" s="238">
        <v>0.996</v>
      </c>
    </row>
    <row r="49" spans="1:9" x14ac:dyDescent="0.2">
      <c r="A49" s="241" t="s">
        <v>52</v>
      </c>
      <c r="B49" s="242">
        <v>1.0714109999999999</v>
      </c>
      <c r="C49" s="243">
        <v>0.61099999999999999</v>
      </c>
      <c r="D49" s="244">
        <v>0.82154519999999998</v>
      </c>
      <c r="E49" s="245">
        <v>1.3972709999999999</v>
      </c>
      <c r="G49">
        <f t="shared" si="0"/>
        <v>1.07</v>
      </c>
      <c r="H49" t="str">
        <f t="shared" si="1"/>
        <v>[0.82, 1.4]</v>
      </c>
      <c r="I49" s="243">
        <v>0.61099999999999999</v>
      </c>
    </row>
    <row r="50" spans="1:9" x14ac:dyDescent="0.2">
      <c r="A50" s="246" t="s">
        <v>53</v>
      </c>
      <c r="B50" s="247">
        <v>1</v>
      </c>
      <c r="C50" s="248" t="s">
        <v>4</v>
      </c>
      <c r="D50" s="249" t="s">
        <v>4</v>
      </c>
      <c r="E50" s="250" t="s">
        <v>4</v>
      </c>
      <c r="G50">
        <f t="shared" si="0"/>
        <v>1</v>
      </c>
      <c r="H50" t="e">
        <f t="shared" si="1"/>
        <v>#VALUE!</v>
      </c>
      <c r="I50" s="248" t="s">
        <v>4</v>
      </c>
    </row>
    <row r="51" spans="1:9" x14ac:dyDescent="0.2">
      <c r="A51" s="251" t="s">
        <v>54</v>
      </c>
      <c r="B51" s="252">
        <v>1.1505E-3</v>
      </c>
      <c r="C51" s="253">
        <v>0</v>
      </c>
      <c r="D51" s="254">
        <v>3.82E-5</v>
      </c>
      <c r="E51" s="255">
        <v>3.4610599999999998E-2</v>
      </c>
      <c r="I51" s="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Ahluwalia, Vinayak</cp:lastModifiedBy>
  <dcterms:modified xsi:type="dcterms:W3CDTF">2024-05-16T19:15:00Z</dcterms:modified>
</cp:coreProperties>
</file>