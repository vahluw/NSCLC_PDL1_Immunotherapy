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hluw/Documents/NSCLC_PDL1_Immunotherapy/"/>
    </mc:Choice>
  </mc:AlternateContent>
  <xr:revisionPtr revIDLastSave="0" documentId="13_ncr:1_{AF681211-F6A4-7645-AF62-B09A0AC45244}" xr6:coauthVersionLast="47" xr6:coauthVersionMax="47" xr10:uidLastSave="{00000000-0000-0000-0000-000000000000}"/>
  <bookViews>
    <workbookView xWindow="28880" yWindow="500" windowWidth="21200" windowHeight="27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2" i="1"/>
</calcChain>
</file>

<file path=xl/sharedStrings.xml><?xml version="1.0" encoding="utf-8"?>
<sst xmlns="http://schemas.openxmlformats.org/spreadsheetml/2006/main" count="124" uniqueCount="74">
  <si>
    <t>mortality_outcome</t>
  </si>
  <si>
    <t>Odds ratio</t>
  </si>
  <si>
    <t>P&gt;|z|</t>
  </si>
  <si>
    <t>[95% conf. interval]</t>
  </si>
  <si>
    <t/>
  </si>
  <si>
    <t>io_mono</t>
  </si>
  <si>
    <t>firstlinechemotherapy</t>
  </si>
  <si>
    <t>nonfirstlinechemotherapy</t>
  </si>
  <si>
    <t>otherfirstlinetherapy</t>
  </si>
  <si>
    <t>firstlinecombinationtherapy</t>
  </si>
  <si>
    <t>antibrafdrug</t>
  </si>
  <si>
    <t>trkinhibitor</t>
  </si>
  <si>
    <t>metinhibitor</t>
  </si>
  <si>
    <t>carboplatinmonotherapy</t>
  </si>
  <si>
    <t>cisplatinmonotherapy</t>
  </si>
  <si>
    <t>antialkdrug#alk</t>
  </si>
  <si>
    <t>0 1</t>
  </si>
  <si>
    <t>1 0</t>
  </si>
  <si>
    <t>1 1</t>
  </si>
  <si>
    <t>antiegfrdrug#egfr</t>
  </si>
  <si>
    <t>antiros1drug#ros1</t>
  </si>
  <si>
    <t>braf</t>
  </si>
  <si>
    <t>kras</t>
  </si>
  <si>
    <t>ecog0</t>
  </si>
  <si>
    <t>ecog1</t>
  </si>
  <si>
    <t>ecog2</t>
  </si>
  <si>
    <t>ecog3</t>
  </si>
  <si>
    <t>ecog4</t>
  </si>
  <si>
    <t>squamouscellcarcinoma</t>
  </si>
  <si>
    <t>nonsquamouscellcarcinoma</t>
  </si>
  <si>
    <t>pdl1</t>
  </si>
  <si>
    <t>hispanicethnicity</t>
  </si>
  <si>
    <t>diagnosisyear</t>
  </si>
  <si>
    <t>ageatdiagnosis</t>
  </si>
  <si>
    <t>white</t>
  </si>
  <si>
    <t>asian</t>
  </si>
  <si>
    <t>black</t>
  </si>
  <si>
    <t>otherrace</t>
  </si>
  <si>
    <t>hispanicrace</t>
  </si>
  <si>
    <t>male</t>
  </si>
  <si>
    <t>daysfromadvanceddiagnosistotreat</t>
  </si>
  <si>
    <t>patientassistanceprogram</t>
  </si>
  <si>
    <t>othergovernmentalinsurance</t>
  </si>
  <si>
    <t>medicare</t>
  </si>
  <si>
    <t>selfpay</t>
  </si>
  <si>
    <t>medicaid</t>
  </si>
  <si>
    <t>commercialhealthplan</t>
  </si>
  <si>
    <t>noinsurance</t>
  </si>
  <si>
    <t>stage0</t>
  </si>
  <si>
    <t>stage1</t>
  </si>
  <si>
    <t>stage2</t>
  </si>
  <si>
    <t>stage3</t>
  </si>
  <si>
    <t>stage4</t>
  </si>
  <si>
    <t>occult</t>
  </si>
  <si>
    <t>neversmoker</t>
  </si>
  <si>
    <t>academicmedicalcenter</t>
  </si>
  <si>
    <t>kidney_bool</t>
  </si>
  <si>
    <t>liver_bool</t>
  </si>
  <si>
    <t>connective_tissue_bool</t>
  </si>
  <si>
    <t>interstitiallungdisease</t>
  </si>
  <si>
    <t>diabetes</t>
  </si>
  <si>
    <t>bonemetastases</t>
  </si>
  <si>
    <t>brainmetastases</t>
  </si>
  <si>
    <t>othercnsmetastases</t>
  </si>
  <si>
    <t>digestivesystemmetastases</t>
  </si>
  <si>
    <t>adrenalmetastases</t>
  </si>
  <si>
    <t>unspecifiedmetastases</t>
  </si>
  <si>
    <t>antiinfectiveusepriortotreatment</t>
  </si>
  <si>
    <t>glucocorticoidusepriortotreatmen</t>
  </si>
  <si>
    <t>clinicalstudydrugused</t>
  </si>
  <si>
    <t>bevacizumabused</t>
  </si>
  <si>
    <t>threeormorechemotherapydrugs</t>
  </si>
  <si>
    <t>pdl1reported</t>
  </si>
  <si>
    <t>_cons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</si>
</sst>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1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0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1">
    <xf numFmtId="0" fontId="0" fillId="0" borderId="0" xfId="0"/>
    <xf numFmtId="0" fontId="1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1" fillId="0" borderId="11" xfId="0" applyFont="1" applyBorder="1" applyAlignment="1">
      <alignment horizontal="right"/>
    </xf>
    <xf numFmtId="0" fontId="12" fillId="0" borderId="12" xfId="0" applyFont="1" applyBorder="1" applyAlignment="1">
      <alignment horizontal="right"/>
    </xf>
    <xf numFmtId="0" fontId="13" fillId="0" borderId="13" xfId="0" applyFont="1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15" fillId="0" borderId="15" xfId="0" applyFont="1" applyBorder="1" applyAlignment="1">
      <alignment horizontal="right"/>
    </xf>
    <xf numFmtId="0" fontId="16" fillId="0" borderId="16" xfId="0" applyFont="1" applyBorder="1" applyAlignment="1">
      <alignment horizontal="right"/>
    </xf>
    <xf numFmtId="0" fontId="17" fillId="0" borderId="17" xfId="0" applyFont="1" applyBorder="1" applyAlignment="1">
      <alignment horizontal="right"/>
    </xf>
    <xf numFmtId="0" fontId="18" fillId="0" borderId="18" xfId="0" applyFont="1" applyBorder="1" applyAlignment="1">
      <alignment horizontal="right"/>
    </xf>
    <xf numFmtId="0" fontId="19" fillId="0" borderId="19" xfId="0" applyFont="1" applyBorder="1" applyAlignment="1">
      <alignment horizontal="right"/>
    </xf>
    <xf numFmtId="0" fontId="20" fillId="0" borderId="20" xfId="0" applyFont="1" applyBorder="1" applyAlignment="1">
      <alignment horizontal="right"/>
    </xf>
    <xf numFmtId="0" fontId="21" fillId="0" borderId="21" xfId="0" applyFont="1" applyBorder="1" applyAlignment="1">
      <alignment horizontal="right"/>
    </xf>
    <xf numFmtId="0" fontId="22" fillId="0" borderId="22" xfId="0" applyFont="1" applyBorder="1" applyAlignment="1">
      <alignment horizontal="right"/>
    </xf>
    <xf numFmtId="0" fontId="23" fillId="0" borderId="23" xfId="0" applyFont="1" applyBorder="1" applyAlignment="1">
      <alignment horizontal="right"/>
    </xf>
    <xf numFmtId="0" fontId="24" fillId="0" borderId="24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6" fillId="0" borderId="26" xfId="0" applyFont="1" applyBorder="1" applyAlignment="1">
      <alignment horizontal="right"/>
    </xf>
    <xf numFmtId="0" fontId="27" fillId="0" borderId="27" xfId="0" applyFont="1" applyBorder="1" applyAlignment="1">
      <alignment horizontal="right"/>
    </xf>
    <xf numFmtId="0" fontId="28" fillId="0" borderId="28" xfId="0" applyFont="1" applyBorder="1" applyAlignment="1">
      <alignment horizontal="right"/>
    </xf>
    <xf numFmtId="0" fontId="29" fillId="0" borderId="29" xfId="0" applyFont="1" applyBorder="1" applyAlignment="1">
      <alignment horizontal="right"/>
    </xf>
    <xf numFmtId="0" fontId="30" fillId="0" borderId="30" xfId="0" applyFont="1" applyBorder="1" applyAlignment="1">
      <alignment horizontal="right"/>
    </xf>
    <xf numFmtId="0" fontId="31" fillId="0" borderId="31" xfId="0" applyFont="1" applyBorder="1" applyAlignment="1">
      <alignment horizontal="right"/>
    </xf>
    <xf numFmtId="0" fontId="32" fillId="0" borderId="32" xfId="0" applyFont="1" applyBorder="1" applyAlignment="1">
      <alignment horizontal="right"/>
    </xf>
    <xf numFmtId="0" fontId="33" fillId="0" borderId="33" xfId="0" applyFont="1" applyBorder="1" applyAlignment="1">
      <alignment horizontal="right"/>
    </xf>
    <xf numFmtId="0" fontId="34" fillId="0" borderId="34" xfId="0" applyFont="1" applyBorder="1" applyAlignment="1">
      <alignment horizontal="right"/>
    </xf>
    <xf numFmtId="0" fontId="35" fillId="0" borderId="35" xfId="0" applyFont="1" applyBorder="1" applyAlignment="1">
      <alignment horizontal="right"/>
    </xf>
    <xf numFmtId="0" fontId="36" fillId="0" borderId="36" xfId="0" applyFont="1" applyBorder="1" applyAlignment="1">
      <alignment horizontal="right"/>
    </xf>
    <xf numFmtId="0" fontId="37" fillId="0" borderId="37" xfId="0" applyFont="1" applyBorder="1" applyAlignment="1">
      <alignment horizontal="right"/>
    </xf>
    <xf numFmtId="0" fontId="38" fillId="0" borderId="38" xfId="0" applyFont="1" applyBorder="1" applyAlignment="1">
      <alignment horizontal="right"/>
    </xf>
    <xf numFmtId="0" fontId="39" fillId="0" borderId="39" xfId="0" applyFont="1" applyBorder="1" applyAlignment="1">
      <alignment horizontal="right"/>
    </xf>
    <xf numFmtId="0" fontId="40" fillId="0" borderId="40" xfId="0" applyFont="1" applyBorder="1" applyAlignment="1">
      <alignment horizontal="right"/>
    </xf>
    <xf numFmtId="0" fontId="41" fillId="0" borderId="41" xfId="0" applyFont="1" applyBorder="1" applyAlignment="1">
      <alignment horizontal="right"/>
    </xf>
    <xf numFmtId="0" fontId="42" fillId="0" borderId="42" xfId="0" applyFont="1" applyBorder="1" applyAlignment="1">
      <alignment horizontal="right"/>
    </xf>
    <xf numFmtId="0" fontId="43" fillId="0" borderId="43" xfId="0" applyFont="1" applyBorder="1" applyAlignment="1">
      <alignment horizontal="right"/>
    </xf>
    <xf numFmtId="0" fontId="44" fillId="0" borderId="44" xfId="0" applyFont="1" applyBorder="1" applyAlignment="1">
      <alignment horizontal="right"/>
    </xf>
    <xf numFmtId="0" fontId="45" fillId="0" borderId="45" xfId="0" applyFont="1" applyBorder="1" applyAlignment="1">
      <alignment horizontal="right"/>
    </xf>
    <xf numFmtId="0" fontId="46" fillId="0" borderId="46" xfId="0" applyFont="1" applyBorder="1" applyAlignment="1">
      <alignment horizontal="right"/>
    </xf>
    <xf numFmtId="0" fontId="47" fillId="0" borderId="47" xfId="0" applyFont="1" applyBorder="1" applyAlignment="1">
      <alignment horizontal="right"/>
    </xf>
    <xf numFmtId="0" fontId="48" fillId="0" borderId="48" xfId="0" applyFont="1" applyBorder="1" applyAlignment="1">
      <alignment horizontal="right"/>
    </xf>
    <xf numFmtId="0" fontId="49" fillId="0" borderId="49" xfId="0" applyFont="1" applyBorder="1" applyAlignment="1">
      <alignment horizontal="right"/>
    </xf>
    <xf numFmtId="0" fontId="50" fillId="0" borderId="50" xfId="0" applyFont="1" applyBorder="1" applyAlignment="1">
      <alignment horizontal="right"/>
    </xf>
    <xf numFmtId="0" fontId="51" fillId="0" borderId="51" xfId="0" applyFont="1" applyBorder="1" applyAlignment="1">
      <alignment horizontal="right"/>
    </xf>
    <xf numFmtId="0" fontId="52" fillId="0" borderId="52" xfId="0" applyFont="1" applyBorder="1" applyAlignment="1">
      <alignment horizontal="right"/>
    </xf>
    <xf numFmtId="0" fontId="53" fillId="0" borderId="53" xfId="0" applyFont="1" applyBorder="1" applyAlignment="1">
      <alignment horizontal="right"/>
    </xf>
    <xf numFmtId="0" fontId="54" fillId="0" borderId="54" xfId="0" applyFont="1" applyBorder="1" applyAlignment="1">
      <alignment horizontal="right"/>
    </xf>
    <xf numFmtId="0" fontId="55" fillId="0" borderId="55" xfId="0" applyFont="1" applyBorder="1" applyAlignment="1">
      <alignment horizontal="right"/>
    </xf>
    <xf numFmtId="0" fontId="56" fillId="0" borderId="56" xfId="0" applyFont="1" applyBorder="1" applyAlignment="1">
      <alignment horizontal="right"/>
    </xf>
    <xf numFmtId="0" fontId="57" fillId="0" borderId="57" xfId="0" applyFont="1" applyBorder="1" applyAlignment="1">
      <alignment horizontal="right"/>
    </xf>
    <xf numFmtId="0" fontId="58" fillId="0" borderId="58" xfId="0" applyFont="1" applyBorder="1" applyAlignment="1">
      <alignment horizontal="right"/>
    </xf>
    <xf numFmtId="0" fontId="59" fillId="0" borderId="59" xfId="0" applyFont="1" applyBorder="1" applyAlignment="1">
      <alignment horizontal="right"/>
    </xf>
    <xf numFmtId="0" fontId="60" fillId="0" borderId="60" xfId="0" applyFont="1" applyBorder="1" applyAlignment="1">
      <alignment horizontal="right"/>
    </xf>
    <xf numFmtId="0" fontId="61" fillId="0" borderId="61" xfId="0" applyFont="1" applyBorder="1" applyAlignment="1">
      <alignment horizontal="right"/>
    </xf>
    <xf numFmtId="0" fontId="62" fillId="0" borderId="62" xfId="0" applyFont="1" applyBorder="1" applyAlignment="1">
      <alignment horizontal="right"/>
    </xf>
    <xf numFmtId="0" fontId="63" fillId="0" borderId="63" xfId="0" applyFont="1" applyBorder="1" applyAlignment="1">
      <alignment horizontal="right"/>
    </xf>
    <xf numFmtId="0" fontId="64" fillId="0" borderId="64" xfId="0" applyFont="1" applyBorder="1" applyAlignment="1">
      <alignment horizontal="right"/>
    </xf>
    <xf numFmtId="0" fontId="65" fillId="0" borderId="65" xfId="0" applyFont="1" applyBorder="1" applyAlignment="1">
      <alignment horizontal="right"/>
    </xf>
    <xf numFmtId="0" fontId="66" fillId="0" borderId="66" xfId="0" applyFont="1" applyBorder="1" applyAlignment="1">
      <alignment horizontal="right"/>
    </xf>
    <xf numFmtId="0" fontId="67" fillId="0" borderId="67" xfId="0" applyFont="1" applyBorder="1" applyAlignment="1">
      <alignment horizontal="right"/>
    </xf>
    <xf numFmtId="0" fontId="68" fillId="0" borderId="68" xfId="0" applyFont="1" applyBorder="1" applyAlignment="1">
      <alignment horizontal="right"/>
    </xf>
    <xf numFmtId="0" fontId="69" fillId="0" borderId="69" xfId="0" applyFont="1" applyBorder="1" applyAlignment="1">
      <alignment horizontal="right"/>
    </xf>
    <xf numFmtId="0" fontId="70" fillId="0" borderId="70" xfId="0" applyFont="1" applyBorder="1" applyAlignment="1">
      <alignment horizontal="right"/>
    </xf>
    <xf numFmtId="0" fontId="71" fillId="0" borderId="71" xfId="0" applyFont="1" applyBorder="1" applyAlignment="1">
      <alignment horizontal="right"/>
    </xf>
    <xf numFmtId="0" fontId="72" fillId="0" borderId="72" xfId="0" applyFont="1" applyBorder="1" applyAlignment="1">
      <alignment horizontal="right"/>
    </xf>
    <xf numFmtId="0" fontId="73" fillId="0" borderId="73" xfId="0" applyFont="1" applyBorder="1" applyAlignment="1">
      <alignment horizontal="right"/>
    </xf>
    <xf numFmtId="0" fontId="74" fillId="0" borderId="74" xfId="0" applyFont="1" applyBorder="1" applyAlignment="1">
      <alignment horizontal="right"/>
    </xf>
    <xf numFmtId="0" fontId="75" fillId="0" borderId="75" xfId="0" applyFont="1" applyBorder="1" applyAlignment="1">
      <alignment horizontal="right"/>
    </xf>
    <xf numFmtId="0" fontId="76" fillId="0" borderId="76" xfId="0" applyFont="1" applyBorder="1" applyAlignment="1">
      <alignment horizontal="right"/>
    </xf>
    <xf numFmtId="0" fontId="77" fillId="0" borderId="77" xfId="0" applyFont="1" applyBorder="1" applyAlignment="1">
      <alignment horizontal="right"/>
    </xf>
    <xf numFmtId="0" fontId="78" fillId="0" borderId="78" xfId="0" applyFont="1" applyBorder="1" applyAlignment="1">
      <alignment horizontal="right"/>
    </xf>
    <xf numFmtId="0" fontId="79" fillId="0" borderId="79" xfId="0" applyFont="1" applyBorder="1" applyAlignment="1">
      <alignment horizontal="right"/>
    </xf>
    <xf numFmtId="0" fontId="80" fillId="0" borderId="80" xfId="0" applyFont="1" applyBorder="1" applyAlignment="1">
      <alignment horizontal="right"/>
    </xf>
    <xf numFmtId="0" fontId="81" fillId="0" borderId="81" xfId="0" applyFont="1" applyBorder="1" applyAlignment="1">
      <alignment horizontal="right"/>
    </xf>
    <xf numFmtId="0" fontId="82" fillId="0" borderId="82" xfId="0" applyFont="1" applyBorder="1" applyAlignment="1">
      <alignment horizontal="right"/>
    </xf>
    <xf numFmtId="0" fontId="83" fillId="0" borderId="83" xfId="0" applyFont="1" applyBorder="1" applyAlignment="1">
      <alignment horizontal="right"/>
    </xf>
    <xf numFmtId="0" fontId="84" fillId="0" borderId="84" xfId="0" applyFont="1" applyBorder="1" applyAlignment="1">
      <alignment horizontal="right"/>
    </xf>
    <xf numFmtId="0" fontId="85" fillId="0" borderId="85" xfId="0" applyFont="1" applyBorder="1" applyAlignment="1">
      <alignment horizontal="right"/>
    </xf>
    <xf numFmtId="0" fontId="86" fillId="0" borderId="86" xfId="0" applyFont="1" applyBorder="1" applyAlignment="1">
      <alignment horizontal="right"/>
    </xf>
    <xf numFmtId="0" fontId="87" fillId="0" borderId="87" xfId="0" applyFont="1" applyBorder="1" applyAlignment="1">
      <alignment horizontal="right"/>
    </xf>
    <xf numFmtId="0" fontId="88" fillId="0" borderId="88" xfId="0" applyFont="1" applyBorder="1" applyAlignment="1">
      <alignment horizontal="right"/>
    </xf>
    <xf numFmtId="0" fontId="89" fillId="0" borderId="89" xfId="0" applyFont="1" applyBorder="1" applyAlignment="1">
      <alignment horizontal="right"/>
    </xf>
    <xf numFmtId="0" fontId="90" fillId="0" borderId="90" xfId="0" applyFont="1" applyBorder="1" applyAlignment="1">
      <alignment horizontal="right"/>
    </xf>
    <xf numFmtId="0" fontId="91" fillId="0" borderId="91" xfId="0" applyFont="1" applyBorder="1" applyAlignment="1">
      <alignment horizontal="right"/>
    </xf>
    <xf numFmtId="0" fontId="92" fillId="0" borderId="92" xfId="0" applyFont="1" applyBorder="1" applyAlignment="1">
      <alignment horizontal="right"/>
    </xf>
    <xf numFmtId="0" fontId="93" fillId="0" borderId="93" xfId="0" applyFont="1" applyBorder="1" applyAlignment="1">
      <alignment horizontal="right"/>
    </xf>
    <xf numFmtId="0" fontId="94" fillId="0" borderId="94" xfId="0" applyFont="1" applyBorder="1" applyAlignment="1">
      <alignment horizontal="right"/>
    </xf>
    <xf numFmtId="0" fontId="95" fillId="0" borderId="95" xfId="0" applyFont="1" applyBorder="1" applyAlignment="1">
      <alignment horizontal="right"/>
    </xf>
    <xf numFmtId="0" fontId="96" fillId="0" borderId="96" xfId="0" applyFont="1" applyBorder="1" applyAlignment="1">
      <alignment horizontal="right"/>
    </xf>
    <xf numFmtId="0" fontId="97" fillId="0" borderId="97" xfId="0" applyFont="1" applyBorder="1" applyAlignment="1">
      <alignment horizontal="right"/>
    </xf>
    <xf numFmtId="0" fontId="98" fillId="0" borderId="98" xfId="0" applyFont="1" applyBorder="1" applyAlignment="1">
      <alignment horizontal="right"/>
    </xf>
    <xf numFmtId="0" fontId="99" fillId="0" borderId="99" xfId="0" applyFont="1" applyBorder="1" applyAlignment="1">
      <alignment horizontal="right"/>
    </xf>
    <xf numFmtId="0" fontId="100" fillId="0" borderId="100" xfId="0" applyFont="1" applyBorder="1" applyAlignment="1">
      <alignment horizontal="right"/>
    </xf>
    <xf numFmtId="0" fontId="101" fillId="0" borderId="101" xfId="0" applyFont="1" applyBorder="1" applyAlignment="1">
      <alignment horizontal="right"/>
    </xf>
    <xf numFmtId="0" fontId="102" fillId="0" borderId="102" xfId="0" applyFont="1" applyBorder="1" applyAlignment="1">
      <alignment horizontal="right"/>
    </xf>
    <xf numFmtId="0" fontId="103" fillId="0" borderId="103" xfId="0" applyFont="1" applyBorder="1" applyAlignment="1">
      <alignment horizontal="right"/>
    </xf>
    <xf numFmtId="0" fontId="104" fillId="0" borderId="104" xfId="0" applyFont="1" applyBorder="1" applyAlignment="1">
      <alignment horizontal="right"/>
    </xf>
    <xf numFmtId="0" fontId="105" fillId="0" borderId="105" xfId="0" applyFont="1" applyBorder="1" applyAlignment="1">
      <alignment horizontal="right"/>
    </xf>
    <xf numFmtId="0" fontId="106" fillId="0" borderId="106" xfId="0" applyFont="1" applyBorder="1" applyAlignment="1">
      <alignment horizontal="right"/>
    </xf>
    <xf numFmtId="0" fontId="107" fillId="0" borderId="107" xfId="0" applyFont="1" applyBorder="1" applyAlignment="1">
      <alignment horizontal="right"/>
    </xf>
    <xf numFmtId="0" fontId="108" fillId="0" borderId="108" xfId="0" applyFont="1" applyBorder="1" applyAlignment="1">
      <alignment horizontal="right"/>
    </xf>
    <xf numFmtId="0" fontId="109" fillId="0" borderId="109" xfId="0" applyFont="1" applyBorder="1" applyAlignment="1">
      <alignment horizontal="right"/>
    </xf>
    <xf numFmtId="0" fontId="110" fillId="0" borderId="110" xfId="0" applyFont="1" applyBorder="1" applyAlignment="1">
      <alignment horizontal="right"/>
    </xf>
    <xf numFmtId="0" fontId="111" fillId="0" borderId="111" xfId="0" applyFont="1" applyBorder="1" applyAlignment="1">
      <alignment horizontal="right"/>
    </xf>
    <xf numFmtId="0" fontId="112" fillId="0" borderId="112" xfId="0" applyFont="1" applyBorder="1" applyAlignment="1">
      <alignment horizontal="right"/>
    </xf>
    <xf numFmtId="0" fontId="113" fillId="0" borderId="113" xfId="0" applyFont="1" applyBorder="1" applyAlignment="1">
      <alignment horizontal="right"/>
    </xf>
    <xf numFmtId="0" fontId="114" fillId="0" borderId="114" xfId="0" applyFont="1" applyBorder="1" applyAlignment="1">
      <alignment horizontal="right"/>
    </xf>
    <xf numFmtId="0" fontId="115" fillId="0" borderId="115" xfId="0" applyFont="1" applyBorder="1" applyAlignment="1">
      <alignment horizontal="right"/>
    </xf>
    <xf numFmtId="0" fontId="116" fillId="0" borderId="116" xfId="0" applyFont="1" applyBorder="1" applyAlignment="1">
      <alignment horizontal="right"/>
    </xf>
    <xf numFmtId="0" fontId="117" fillId="0" borderId="117" xfId="0" applyFont="1" applyBorder="1" applyAlignment="1">
      <alignment horizontal="right"/>
    </xf>
    <xf numFmtId="0" fontId="118" fillId="0" borderId="118" xfId="0" applyFont="1" applyBorder="1" applyAlignment="1">
      <alignment horizontal="right"/>
    </xf>
    <xf numFmtId="0" fontId="119" fillId="0" borderId="119" xfId="0" applyFont="1" applyBorder="1" applyAlignment="1">
      <alignment horizontal="right"/>
    </xf>
    <xf numFmtId="0" fontId="120" fillId="0" borderId="120" xfId="0" applyFont="1" applyBorder="1" applyAlignment="1">
      <alignment horizontal="right"/>
    </xf>
    <xf numFmtId="0" fontId="121" fillId="0" borderId="121" xfId="0" applyFont="1" applyBorder="1" applyAlignment="1">
      <alignment horizontal="right"/>
    </xf>
    <xf numFmtId="0" fontId="122" fillId="0" borderId="122" xfId="0" applyFont="1" applyBorder="1" applyAlignment="1">
      <alignment horizontal="right"/>
    </xf>
    <xf numFmtId="0" fontId="123" fillId="0" borderId="123" xfId="0" applyFont="1" applyBorder="1" applyAlignment="1">
      <alignment horizontal="right"/>
    </xf>
    <xf numFmtId="0" fontId="124" fillId="0" borderId="124" xfId="0" applyFont="1" applyBorder="1" applyAlignment="1">
      <alignment horizontal="right"/>
    </xf>
    <xf numFmtId="0" fontId="125" fillId="0" borderId="125" xfId="0" applyFont="1" applyBorder="1" applyAlignment="1">
      <alignment horizontal="right"/>
    </xf>
    <xf numFmtId="0" fontId="126" fillId="0" borderId="126" xfId="0" applyFont="1" applyBorder="1" applyAlignment="1">
      <alignment horizontal="right"/>
    </xf>
    <xf numFmtId="0" fontId="127" fillId="0" borderId="127" xfId="0" applyFont="1" applyBorder="1" applyAlignment="1">
      <alignment horizontal="right"/>
    </xf>
    <xf numFmtId="0" fontId="128" fillId="0" borderId="128" xfId="0" applyFont="1" applyBorder="1" applyAlignment="1">
      <alignment horizontal="right"/>
    </xf>
    <xf numFmtId="0" fontId="129" fillId="0" borderId="129" xfId="0" applyFont="1" applyBorder="1" applyAlignment="1">
      <alignment horizontal="right"/>
    </xf>
    <xf numFmtId="0" fontId="130" fillId="0" borderId="130" xfId="0" applyFont="1" applyBorder="1" applyAlignment="1">
      <alignment horizontal="right"/>
    </xf>
    <xf numFmtId="0" fontId="131" fillId="0" borderId="131" xfId="0" applyFont="1" applyBorder="1" applyAlignment="1">
      <alignment horizontal="right"/>
    </xf>
    <xf numFmtId="0" fontId="132" fillId="0" borderId="132" xfId="0" applyFont="1" applyBorder="1" applyAlignment="1">
      <alignment horizontal="right"/>
    </xf>
    <xf numFmtId="0" fontId="133" fillId="0" borderId="133" xfId="0" applyFont="1" applyBorder="1" applyAlignment="1">
      <alignment horizontal="right"/>
    </xf>
    <xf numFmtId="0" fontId="134" fillId="0" borderId="134" xfId="0" applyFont="1" applyBorder="1" applyAlignment="1">
      <alignment horizontal="right"/>
    </xf>
    <xf numFmtId="0" fontId="135" fillId="0" borderId="135" xfId="0" applyFont="1" applyBorder="1" applyAlignment="1">
      <alignment horizontal="right"/>
    </xf>
    <xf numFmtId="0" fontId="136" fillId="0" borderId="136" xfId="0" applyFont="1" applyBorder="1" applyAlignment="1">
      <alignment horizontal="right"/>
    </xf>
    <xf numFmtId="0" fontId="137" fillId="0" borderId="137" xfId="0" applyFont="1" applyBorder="1" applyAlignment="1">
      <alignment horizontal="right"/>
    </xf>
    <xf numFmtId="0" fontId="138" fillId="0" borderId="138" xfId="0" applyFont="1" applyBorder="1" applyAlignment="1">
      <alignment horizontal="right"/>
    </xf>
    <xf numFmtId="0" fontId="139" fillId="0" borderId="139" xfId="0" applyFont="1" applyBorder="1" applyAlignment="1">
      <alignment horizontal="right"/>
    </xf>
    <xf numFmtId="0" fontId="140" fillId="0" borderId="140" xfId="0" applyFont="1" applyBorder="1" applyAlignment="1">
      <alignment horizontal="right"/>
    </xf>
    <xf numFmtId="0" fontId="141" fillId="0" borderId="141" xfId="0" applyFont="1" applyBorder="1" applyAlignment="1">
      <alignment horizontal="right"/>
    </xf>
    <xf numFmtId="0" fontId="142" fillId="0" borderId="142" xfId="0" applyFont="1" applyBorder="1" applyAlignment="1">
      <alignment horizontal="right"/>
    </xf>
    <xf numFmtId="0" fontId="143" fillId="0" borderId="143" xfId="0" applyFont="1" applyBorder="1" applyAlignment="1">
      <alignment horizontal="right"/>
    </xf>
    <xf numFmtId="0" fontId="144" fillId="0" borderId="144" xfId="0" applyFont="1" applyBorder="1" applyAlignment="1">
      <alignment horizontal="right"/>
    </xf>
    <xf numFmtId="0" fontId="145" fillId="0" borderId="145" xfId="0" applyFont="1" applyBorder="1" applyAlignment="1">
      <alignment horizontal="right"/>
    </xf>
    <xf numFmtId="0" fontId="146" fillId="0" borderId="146" xfId="0" applyFont="1" applyBorder="1" applyAlignment="1">
      <alignment horizontal="right"/>
    </xf>
    <xf numFmtId="0" fontId="147" fillId="0" borderId="147" xfId="0" applyFont="1" applyBorder="1" applyAlignment="1">
      <alignment horizontal="right"/>
    </xf>
    <xf numFmtId="0" fontId="148" fillId="0" borderId="148" xfId="0" applyFont="1" applyBorder="1" applyAlignment="1">
      <alignment horizontal="right"/>
    </xf>
    <xf numFmtId="0" fontId="149" fillId="0" borderId="149" xfId="0" applyFont="1" applyBorder="1" applyAlignment="1">
      <alignment horizontal="right"/>
    </xf>
    <xf numFmtId="0" fontId="150" fillId="0" borderId="150" xfId="0" applyFont="1" applyBorder="1" applyAlignment="1">
      <alignment horizontal="right"/>
    </xf>
    <xf numFmtId="0" fontId="151" fillId="0" borderId="151" xfId="0" applyFont="1" applyBorder="1" applyAlignment="1">
      <alignment horizontal="right"/>
    </xf>
    <xf numFmtId="0" fontId="152" fillId="0" borderId="152" xfId="0" applyFont="1" applyBorder="1" applyAlignment="1">
      <alignment horizontal="right"/>
    </xf>
    <xf numFmtId="0" fontId="153" fillId="0" borderId="153" xfId="0" applyFont="1" applyBorder="1" applyAlignment="1">
      <alignment horizontal="right"/>
    </xf>
    <xf numFmtId="0" fontId="154" fillId="0" borderId="154" xfId="0" applyFont="1" applyBorder="1" applyAlignment="1">
      <alignment horizontal="right"/>
    </xf>
    <xf numFmtId="0" fontId="155" fillId="0" borderId="155" xfId="0" applyFont="1" applyBorder="1" applyAlignment="1">
      <alignment horizontal="right"/>
    </xf>
    <xf numFmtId="0" fontId="156" fillId="0" borderId="156" xfId="0" applyFont="1" applyBorder="1" applyAlignment="1">
      <alignment horizontal="right"/>
    </xf>
    <xf numFmtId="0" fontId="157" fillId="0" borderId="157" xfId="0" applyFont="1" applyBorder="1" applyAlignment="1">
      <alignment horizontal="right"/>
    </xf>
    <xf numFmtId="0" fontId="158" fillId="0" borderId="158" xfId="0" applyFont="1" applyBorder="1" applyAlignment="1">
      <alignment horizontal="right"/>
    </xf>
    <xf numFmtId="0" fontId="159" fillId="0" borderId="159" xfId="0" applyFont="1" applyBorder="1" applyAlignment="1">
      <alignment horizontal="right"/>
    </xf>
    <xf numFmtId="0" fontId="160" fillId="0" borderId="160" xfId="0" applyFont="1" applyBorder="1" applyAlignment="1">
      <alignment horizontal="right"/>
    </xf>
    <xf numFmtId="0" fontId="161" fillId="0" borderId="161" xfId="0" applyFont="1" applyBorder="1" applyAlignment="1">
      <alignment horizontal="right"/>
    </xf>
    <xf numFmtId="0" fontId="162" fillId="0" borderId="162" xfId="0" applyFont="1" applyBorder="1" applyAlignment="1">
      <alignment horizontal="right"/>
    </xf>
    <xf numFmtId="0" fontId="163" fillId="0" borderId="163" xfId="0" applyFont="1" applyBorder="1" applyAlignment="1">
      <alignment horizontal="right"/>
    </xf>
    <xf numFmtId="0" fontId="164" fillId="0" borderId="164" xfId="0" applyFont="1" applyBorder="1" applyAlignment="1">
      <alignment horizontal="right"/>
    </xf>
    <xf numFmtId="0" fontId="165" fillId="0" borderId="165" xfId="0" applyFont="1" applyBorder="1" applyAlignment="1">
      <alignment horizontal="right"/>
    </xf>
    <xf numFmtId="0" fontId="166" fillId="0" borderId="166" xfId="0" applyFont="1" applyBorder="1" applyAlignment="1">
      <alignment horizontal="right"/>
    </xf>
    <xf numFmtId="0" fontId="167" fillId="0" borderId="167" xfId="0" applyFont="1" applyBorder="1" applyAlignment="1">
      <alignment horizontal="right"/>
    </xf>
    <xf numFmtId="0" fontId="168" fillId="0" borderId="168" xfId="0" applyFont="1" applyBorder="1" applyAlignment="1">
      <alignment horizontal="right"/>
    </xf>
    <xf numFmtId="0" fontId="169" fillId="0" borderId="169" xfId="0" applyFont="1" applyBorder="1" applyAlignment="1">
      <alignment horizontal="right"/>
    </xf>
    <xf numFmtId="0" fontId="170" fillId="0" borderId="170" xfId="0" applyFont="1" applyBorder="1" applyAlignment="1">
      <alignment horizontal="right"/>
    </xf>
    <xf numFmtId="0" fontId="171" fillId="0" borderId="171" xfId="0" applyFont="1" applyBorder="1" applyAlignment="1">
      <alignment horizontal="right"/>
    </xf>
    <xf numFmtId="0" fontId="172" fillId="0" borderId="172" xfId="0" applyFont="1" applyBorder="1" applyAlignment="1">
      <alignment horizontal="right"/>
    </xf>
    <xf numFmtId="0" fontId="173" fillId="0" borderId="173" xfId="0" applyFont="1" applyBorder="1" applyAlignment="1">
      <alignment horizontal="right"/>
    </xf>
    <xf numFmtId="0" fontId="174" fillId="0" borderId="174" xfId="0" applyFont="1" applyBorder="1" applyAlignment="1">
      <alignment horizontal="right"/>
    </xf>
    <xf numFmtId="0" fontId="175" fillId="0" borderId="175" xfId="0" applyFont="1" applyBorder="1" applyAlignment="1">
      <alignment horizontal="right"/>
    </xf>
    <xf numFmtId="0" fontId="176" fillId="0" borderId="176" xfId="0" applyFont="1" applyBorder="1" applyAlignment="1">
      <alignment horizontal="right"/>
    </xf>
    <xf numFmtId="0" fontId="177" fillId="0" borderId="177" xfId="0" applyFont="1" applyBorder="1" applyAlignment="1">
      <alignment horizontal="right"/>
    </xf>
    <xf numFmtId="0" fontId="178" fillId="0" borderId="178" xfId="0" applyFont="1" applyBorder="1" applyAlignment="1">
      <alignment horizontal="right"/>
    </xf>
    <xf numFmtId="0" fontId="179" fillId="0" borderId="179" xfId="0" applyFont="1" applyBorder="1" applyAlignment="1">
      <alignment horizontal="right"/>
    </xf>
    <xf numFmtId="0" fontId="180" fillId="0" borderId="180" xfId="0" applyFont="1" applyBorder="1" applyAlignment="1">
      <alignment horizontal="right"/>
    </xf>
    <xf numFmtId="0" fontId="181" fillId="0" borderId="181" xfId="0" applyFont="1" applyBorder="1" applyAlignment="1">
      <alignment horizontal="right"/>
    </xf>
    <xf numFmtId="0" fontId="182" fillId="0" borderId="182" xfId="0" applyFont="1" applyBorder="1" applyAlignment="1">
      <alignment horizontal="right"/>
    </xf>
    <xf numFmtId="0" fontId="183" fillId="0" borderId="183" xfId="0" applyFont="1" applyBorder="1" applyAlignment="1">
      <alignment horizontal="right"/>
    </xf>
    <xf numFmtId="0" fontId="184" fillId="0" borderId="184" xfId="0" applyFont="1" applyBorder="1" applyAlignment="1">
      <alignment horizontal="right"/>
    </xf>
    <xf numFmtId="0" fontId="185" fillId="0" borderId="185" xfId="0" applyFont="1" applyBorder="1" applyAlignment="1">
      <alignment horizontal="right"/>
    </xf>
    <xf numFmtId="0" fontId="186" fillId="0" borderId="186" xfId="0" applyFont="1" applyBorder="1" applyAlignment="1">
      <alignment horizontal="right"/>
    </xf>
    <xf numFmtId="0" fontId="187" fillId="0" borderId="187" xfId="0" applyFont="1" applyBorder="1" applyAlignment="1">
      <alignment horizontal="right"/>
    </xf>
    <xf numFmtId="0" fontId="188" fillId="0" borderId="188" xfId="0" applyFont="1" applyBorder="1" applyAlignment="1">
      <alignment horizontal="right"/>
    </xf>
    <xf numFmtId="0" fontId="189" fillId="0" borderId="189" xfId="0" applyFont="1" applyBorder="1" applyAlignment="1">
      <alignment horizontal="right"/>
    </xf>
    <xf numFmtId="0" fontId="190" fillId="0" borderId="190" xfId="0" applyFont="1" applyBorder="1" applyAlignment="1">
      <alignment horizontal="right"/>
    </xf>
    <xf numFmtId="0" fontId="191" fillId="0" borderId="191" xfId="0" applyFont="1" applyBorder="1" applyAlignment="1">
      <alignment horizontal="right"/>
    </xf>
    <xf numFmtId="0" fontId="192" fillId="0" borderId="192" xfId="0" applyFont="1" applyBorder="1" applyAlignment="1">
      <alignment horizontal="right"/>
    </xf>
    <xf numFmtId="0" fontId="193" fillId="0" borderId="193" xfId="0" applyFont="1" applyBorder="1" applyAlignment="1">
      <alignment horizontal="right"/>
    </xf>
    <xf numFmtId="0" fontId="194" fillId="0" borderId="194" xfId="0" applyFont="1" applyBorder="1" applyAlignment="1">
      <alignment horizontal="right"/>
    </xf>
    <xf numFmtId="0" fontId="195" fillId="0" borderId="195" xfId="0" applyFont="1" applyBorder="1" applyAlignment="1">
      <alignment horizontal="right"/>
    </xf>
    <xf numFmtId="0" fontId="196" fillId="0" borderId="196" xfId="0" applyFont="1" applyBorder="1" applyAlignment="1">
      <alignment horizontal="right"/>
    </xf>
    <xf numFmtId="0" fontId="197" fillId="0" borderId="197" xfId="0" applyFont="1" applyBorder="1" applyAlignment="1">
      <alignment horizontal="right"/>
    </xf>
    <xf numFmtId="0" fontId="198" fillId="0" borderId="198" xfId="0" applyFont="1" applyBorder="1" applyAlignment="1">
      <alignment horizontal="right"/>
    </xf>
    <xf numFmtId="0" fontId="199" fillId="0" borderId="199" xfId="0" applyFont="1" applyBorder="1" applyAlignment="1">
      <alignment horizontal="right"/>
    </xf>
    <xf numFmtId="0" fontId="200" fillId="0" borderId="200" xfId="0" applyFont="1" applyBorder="1" applyAlignment="1">
      <alignment horizontal="right"/>
    </xf>
    <xf numFmtId="0" fontId="201" fillId="0" borderId="201" xfId="0" applyFont="1" applyBorder="1" applyAlignment="1">
      <alignment horizontal="right"/>
    </xf>
    <xf numFmtId="0" fontId="202" fillId="0" borderId="202" xfId="0" applyFont="1" applyBorder="1" applyAlignment="1">
      <alignment horizontal="right"/>
    </xf>
    <xf numFmtId="0" fontId="203" fillId="0" borderId="203" xfId="0" applyFont="1" applyBorder="1" applyAlignment="1">
      <alignment horizontal="right"/>
    </xf>
    <xf numFmtId="0" fontId="204" fillId="0" borderId="204" xfId="0" applyFont="1" applyBorder="1" applyAlignment="1">
      <alignment horizontal="right"/>
    </xf>
    <xf numFmtId="0" fontId="205" fillId="0" borderId="205" xfId="0" applyFont="1" applyBorder="1" applyAlignment="1">
      <alignment horizontal="right"/>
    </xf>
    <xf numFmtId="0" fontId="206" fillId="0" borderId="206" xfId="0" applyFont="1" applyBorder="1" applyAlignment="1">
      <alignment horizontal="right"/>
    </xf>
    <xf numFmtId="0" fontId="207" fillId="0" borderId="207" xfId="0" applyFont="1" applyBorder="1" applyAlignment="1">
      <alignment horizontal="right"/>
    </xf>
    <xf numFmtId="0" fontId="208" fillId="0" borderId="208" xfId="0" applyFont="1" applyBorder="1" applyAlignment="1">
      <alignment horizontal="right"/>
    </xf>
    <xf numFmtId="0" fontId="209" fillId="0" borderId="209" xfId="0" applyFont="1" applyBorder="1" applyAlignment="1">
      <alignment horizontal="right"/>
    </xf>
    <xf numFmtId="0" fontId="210" fillId="0" borderId="210" xfId="0" applyFont="1" applyBorder="1" applyAlignment="1">
      <alignment horizontal="right"/>
    </xf>
    <xf numFmtId="0" fontId="211" fillId="0" borderId="211" xfId="0" applyFont="1" applyBorder="1" applyAlignment="1">
      <alignment horizontal="right"/>
    </xf>
    <xf numFmtId="0" fontId="212" fillId="0" borderId="212" xfId="0" applyFont="1" applyBorder="1" applyAlignment="1">
      <alignment horizontal="right"/>
    </xf>
    <xf numFmtId="0" fontId="213" fillId="0" borderId="213" xfId="0" applyFont="1" applyBorder="1" applyAlignment="1">
      <alignment horizontal="right"/>
    </xf>
    <xf numFmtId="0" fontId="214" fillId="0" borderId="214" xfId="0" applyFont="1" applyBorder="1" applyAlignment="1">
      <alignment horizontal="right"/>
    </xf>
    <xf numFmtId="0" fontId="215" fillId="0" borderId="215" xfId="0" applyFont="1" applyBorder="1" applyAlignment="1">
      <alignment horizontal="right"/>
    </xf>
    <xf numFmtId="0" fontId="216" fillId="0" borderId="216" xfId="0" applyFont="1" applyBorder="1" applyAlignment="1">
      <alignment horizontal="right"/>
    </xf>
    <xf numFmtId="0" fontId="217" fillId="0" borderId="217" xfId="0" applyFont="1" applyBorder="1" applyAlignment="1">
      <alignment horizontal="right"/>
    </xf>
    <xf numFmtId="0" fontId="218" fillId="0" borderId="218" xfId="0" applyFont="1" applyBorder="1" applyAlignment="1">
      <alignment horizontal="right"/>
    </xf>
    <xf numFmtId="0" fontId="219" fillId="0" borderId="219" xfId="0" applyFont="1" applyBorder="1" applyAlignment="1">
      <alignment horizontal="right"/>
    </xf>
    <xf numFmtId="0" fontId="220" fillId="0" borderId="220" xfId="0" applyFont="1" applyBorder="1" applyAlignment="1">
      <alignment horizontal="right"/>
    </xf>
    <xf numFmtId="0" fontId="221" fillId="0" borderId="221" xfId="0" applyFont="1" applyBorder="1" applyAlignment="1">
      <alignment horizontal="right"/>
    </xf>
    <xf numFmtId="0" fontId="222" fillId="0" borderId="222" xfId="0" applyFont="1" applyBorder="1" applyAlignment="1">
      <alignment horizontal="right"/>
    </xf>
    <xf numFmtId="0" fontId="223" fillId="0" borderId="223" xfId="0" applyFont="1" applyBorder="1" applyAlignment="1">
      <alignment horizontal="right"/>
    </xf>
    <xf numFmtId="0" fontId="224" fillId="0" borderId="224" xfId="0" applyFont="1" applyBorder="1" applyAlignment="1">
      <alignment horizontal="right"/>
    </xf>
    <xf numFmtId="0" fontId="225" fillId="0" borderId="225" xfId="0" applyFont="1" applyBorder="1" applyAlignment="1">
      <alignment horizontal="right"/>
    </xf>
    <xf numFmtId="0" fontId="226" fillId="0" borderId="226" xfId="0" applyFont="1" applyBorder="1" applyAlignment="1">
      <alignment horizontal="right"/>
    </xf>
    <xf numFmtId="0" fontId="227" fillId="0" borderId="227" xfId="0" applyFont="1" applyBorder="1" applyAlignment="1">
      <alignment horizontal="right"/>
    </xf>
    <xf numFmtId="0" fontId="228" fillId="0" borderId="228" xfId="0" applyFont="1" applyBorder="1" applyAlignment="1">
      <alignment horizontal="right"/>
    </xf>
    <xf numFmtId="0" fontId="229" fillId="0" borderId="229" xfId="0" applyFont="1" applyBorder="1" applyAlignment="1">
      <alignment horizontal="right"/>
    </xf>
    <xf numFmtId="0" fontId="230" fillId="0" borderId="230" xfId="0" applyFont="1" applyBorder="1" applyAlignment="1">
      <alignment horizontal="right"/>
    </xf>
    <xf numFmtId="0" fontId="231" fillId="0" borderId="231" xfId="0" applyFont="1" applyBorder="1" applyAlignment="1">
      <alignment horizontal="right"/>
    </xf>
    <xf numFmtId="0" fontId="232" fillId="0" borderId="232" xfId="0" applyFont="1" applyBorder="1" applyAlignment="1">
      <alignment horizontal="right"/>
    </xf>
    <xf numFmtId="0" fontId="233" fillId="0" borderId="233" xfId="0" applyFont="1" applyBorder="1" applyAlignment="1">
      <alignment horizontal="right"/>
    </xf>
    <xf numFmtId="0" fontId="234" fillId="0" borderId="234" xfId="0" applyFont="1" applyBorder="1" applyAlignment="1">
      <alignment horizontal="right"/>
    </xf>
    <xf numFmtId="0" fontId="235" fillId="0" borderId="235" xfId="0" applyFont="1" applyBorder="1" applyAlignment="1">
      <alignment horizontal="right"/>
    </xf>
    <xf numFmtId="0" fontId="236" fillId="0" borderId="236" xfId="0" applyFont="1" applyBorder="1" applyAlignment="1">
      <alignment horizontal="right"/>
    </xf>
    <xf numFmtId="0" fontId="237" fillId="0" borderId="237" xfId="0" applyFont="1" applyBorder="1" applyAlignment="1">
      <alignment horizontal="right"/>
    </xf>
    <xf numFmtId="0" fontId="238" fillId="0" borderId="238" xfId="0" applyFont="1" applyBorder="1" applyAlignment="1">
      <alignment horizontal="right"/>
    </xf>
    <xf numFmtId="0" fontId="239" fillId="0" borderId="239" xfId="0" applyFont="1" applyBorder="1" applyAlignment="1">
      <alignment horizontal="right"/>
    </xf>
    <xf numFmtId="0" fontId="240" fillId="0" borderId="240" xfId="0" applyFont="1" applyBorder="1" applyAlignment="1">
      <alignment horizontal="right"/>
    </xf>
    <xf numFmtId="0" fontId="241" fillId="0" borderId="241" xfId="0" applyFont="1" applyBorder="1" applyAlignment="1">
      <alignment horizontal="right"/>
    </xf>
    <xf numFmtId="0" fontId="242" fillId="0" borderId="242" xfId="0" applyFont="1" applyBorder="1" applyAlignment="1">
      <alignment horizontal="right"/>
    </xf>
    <xf numFmtId="0" fontId="243" fillId="0" borderId="243" xfId="0" applyFont="1" applyBorder="1" applyAlignment="1">
      <alignment horizontal="right"/>
    </xf>
    <xf numFmtId="0" fontId="244" fillId="0" borderId="244" xfId="0" applyFont="1" applyBorder="1" applyAlignment="1">
      <alignment horizontal="right"/>
    </xf>
    <xf numFmtId="0" fontId="245" fillId="0" borderId="245" xfId="0" applyFont="1" applyBorder="1" applyAlignment="1">
      <alignment horizontal="right"/>
    </xf>
    <xf numFmtId="0" fontId="246" fillId="0" borderId="246" xfId="0" applyFont="1" applyBorder="1" applyAlignment="1">
      <alignment horizontal="right"/>
    </xf>
    <xf numFmtId="0" fontId="247" fillId="0" borderId="247" xfId="0" applyFont="1" applyBorder="1" applyAlignment="1">
      <alignment horizontal="right"/>
    </xf>
    <xf numFmtId="0" fontId="248" fillId="0" borderId="248" xfId="0" applyFont="1" applyBorder="1" applyAlignment="1">
      <alignment horizontal="right"/>
    </xf>
    <xf numFmtId="0" fontId="249" fillId="0" borderId="249" xfId="0" applyFont="1" applyBorder="1" applyAlignment="1">
      <alignment horizontal="right"/>
    </xf>
    <xf numFmtId="0" fontId="250" fillId="0" borderId="250" xfId="0" applyFont="1" applyBorder="1" applyAlignment="1">
      <alignment horizontal="right"/>
    </xf>
    <xf numFmtId="0" fontId="251" fillId="0" borderId="251" xfId="0" applyFont="1" applyBorder="1" applyAlignment="1">
      <alignment horizontal="right"/>
    </xf>
    <xf numFmtId="0" fontId="252" fillId="0" borderId="252" xfId="0" applyFont="1" applyBorder="1" applyAlignment="1">
      <alignment horizontal="right"/>
    </xf>
    <xf numFmtId="0" fontId="253" fillId="0" borderId="253" xfId="0" applyFont="1" applyBorder="1" applyAlignment="1">
      <alignment horizontal="right"/>
    </xf>
    <xf numFmtId="0" fontId="254" fillId="0" borderId="254" xfId="0" applyFont="1" applyBorder="1" applyAlignment="1">
      <alignment horizontal="right"/>
    </xf>
    <xf numFmtId="0" fontId="255" fillId="0" borderId="255" xfId="0" applyFont="1" applyBorder="1" applyAlignment="1">
      <alignment horizontal="right"/>
    </xf>
    <xf numFmtId="0" fontId="256" fillId="0" borderId="256" xfId="0" applyFont="1" applyBorder="1" applyAlignment="1">
      <alignment horizontal="right"/>
    </xf>
    <xf numFmtId="0" fontId="257" fillId="0" borderId="257" xfId="0" applyFont="1" applyBorder="1" applyAlignment="1">
      <alignment horizontal="right"/>
    </xf>
    <xf numFmtId="0" fontId="258" fillId="0" borderId="258" xfId="0" applyFont="1" applyBorder="1" applyAlignment="1">
      <alignment horizontal="right"/>
    </xf>
    <xf numFmtId="0" fontId="259" fillId="0" borderId="259" xfId="0" applyFont="1" applyBorder="1" applyAlignment="1">
      <alignment horizontal="right"/>
    </xf>
    <xf numFmtId="0" fontId="260" fillId="0" borderId="260" xfId="0" applyFont="1" applyBorder="1" applyAlignment="1">
      <alignment horizontal="right"/>
    </xf>
    <xf numFmtId="0" fontId="261" fillId="0" borderId="261" xfId="0" applyFont="1" applyBorder="1" applyAlignment="1">
      <alignment horizontal="right"/>
    </xf>
    <xf numFmtId="0" fontId="262" fillId="0" borderId="262" xfId="0" applyFont="1" applyBorder="1" applyAlignment="1">
      <alignment horizontal="right"/>
    </xf>
    <xf numFmtId="0" fontId="263" fillId="0" borderId="263" xfId="0" applyFont="1" applyBorder="1" applyAlignment="1">
      <alignment horizontal="right"/>
    </xf>
    <xf numFmtId="0" fontId="264" fillId="0" borderId="264" xfId="0" applyFont="1" applyBorder="1" applyAlignment="1">
      <alignment horizontal="right"/>
    </xf>
    <xf numFmtId="0" fontId="265" fillId="0" borderId="265" xfId="0" applyFont="1" applyBorder="1" applyAlignment="1">
      <alignment horizontal="right"/>
    </xf>
    <xf numFmtId="0" fontId="266" fillId="0" borderId="266" xfId="0" applyFont="1" applyBorder="1" applyAlignment="1">
      <alignment horizontal="right"/>
    </xf>
    <xf numFmtId="0" fontId="267" fillId="0" borderId="267" xfId="0" applyFont="1" applyBorder="1" applyAlignment="1">
      <alignment horizontal="right"/>
    </xf>
    <xf numFmtId="0" fontId="268" fillId="0" borderId="268" xfId="0" applyFont="1" applyBorder="1" applyAlignment="1">
      <alignment horizontal="right"/>
    </xf>
    <xf numFmtId="0" fontId="269" fillId="0" borderId="269" xfId="0" applyFont="1" applyBorder="1" applyAlignment="1">
      <alignment horizontal="right"/>
    </xf>
    <xf numFmtId="0" fontId="270" fillId="0" borderId="270" xfId="0" applyFont="1" applyBorder="1" applyAlignment="1">
      <alignment horizontal="right"/>
    </xf>
    <xf numFmtId="0" fontId="271" fillId="0" borderId="271" xfId="0" applyFont="1" applyBorder="1" applyAlignment="1">
      <alignment horizontal="right"/>
    </xf>
    <xf numFmtId="0" fontId="272" fillId="0" borderId="272" xfId="0" applyFont="1" applyBorder="1" applyAlignment="1">
      <alignment horizontal="right"/>
    </xf>
    <xf numFmtId="0" fontId="273" fillId="0" borderId="273" xfId="0" applyFont="1" applyBorder="1" applyAlignment="1">
      <alignment horizontal="right"/>
    </xf>
    <xf numFmtId="0" fontId="274" fillId="0" borderId="274" xfId="0" applyFont="1" applyBorder="1" applyAlignment="1">
      <alignment horizontal="right"/>
    </xf>
    <xf numFmtId="0" fontId="275" fillId="0" borderId="275" xfId="0" applyFont="1" applyBorder="1" applyAlignment="1">
      <alignment horizontal="right"/>
    </xf>
    <xf numFmtId="0" fontId="276" fillId="0" borderId="276" xfId="0" applyFont="1" applyBorder="1" applyAlignment="1">
      <alignment horizontal="right"/>
    </xf>
    <xf numFmtId="0" fontId="277" fillId="0" borderId="277" xfId="0" applyFont="1" applyBorder="1" applyAlignment="1">
      <alignment horizontal="right"/>
    </xf>
    <xf numFmtId="0" fontId="278" fillId="0" borderId="278" xfId="0" applyFont="1" applyBorder="1" applyAlignment="1">
      <alignment horizontal="right"/>
    </xf>
    <xf numFmtId="0" fontId="279" fillId="0" borderId="279" xfId="0" applyFont="1" applyBorder="1" applyAlignment="1">
      <alignment horizontal="right"/>
    </xf>
    <xf numFmtId="0" fontId="280" fillId="0" borderId="280" xfId="0" applyFont="1" applyBorder="1" applyAlignment="1">
      <alignment horizontal="right"/>
    </xf>
    <xf numFmtId="0" fontId="281" fillId="0" borderId="281" xfId="0" applyFont="1" applyBorder="1" applyAlignment="1">
      <alignment horizontal="right"/>
    </xf>
    <xf numFmtId="0" fontId="282" fillId="0" borderId="282" xfId="0" applyFont="1" applyBorder="1" applyAlignment="1">
      <alignment horizontal="right"/>
    </xf>
    <xf numFmtId="0" fontId="283" fillId="0" borderId="283" xfId="0" applyFont="1" applyBorder="1" applyAlignment="1">
      <alignment horizontal="right"/>
    </xf>
    <xf numFmtId="0" fontId="284" fillId="0" borderId="284" xfId="0" applyFont="1" applyBorder="1" applyAlignment="1">
      <alignment horizontal="right"/>
    </xf>
    <xf numFmtId="0" fontId="285" fillId="0" borderId="285" xfId="0" applyFont="1" applyBorder="1" applyAlignment="1">
      <alignment horizontal="right"/>
    </xf>
    <xf numFmtId="0" fontId="286" fillId="0" borderId="286" xfId="0" applyFont="1" applyBorder="1" applyAlignment="1">
      <alignment horizontal="right"/>
    </xf>
    <xf numFmtId="0" fontId="287" fillId="0" borderId="287" xfId="0" applyFont="1" applyBorder="1" applyAlignment="1">
      <alignment horizontal="right"/>
    </xf>
    <xf numFmtId="0" fontId="288" fillId="0" borderId="288" xfId="0" applyFont="1" applyBorder="1" applyAlignment="1">
      <alignment horizontal="right"/>
    </xf>
    <xf numFmtId="0" fontId="289" fillId="0" borderId="289" xfId="0" applyFont="1" applyBorder="1" applyAlignment="1">
      <alignment horizontal="right"/>
    </xf>
    <xf numFmtId="0" fontId="290" fillId="0" borderId="290" xfId="0" applyFont="1" applyBorder="1" applyAlignment="1">
      <alignment horizontal="right"/>
    </xf>
    <xf numFmtId="0" fontId="291" fillId="0" borderId="291" xfId="0" applyFont="1" applyBorder="1" applyAlignment="1">
      <alignment horizontal="right"/>
    </xf>
    <xf numFmtId="0" fontId="292" fillId="0" borderId="292" xfId="0" applyFont="1" applyBorder="1" applyAlignment="1">
      <alignment horizontal="right"/>
    </xf>
    <xf numFmtId="0" fontId="293" fillId="0" borderId="293" xfId="0" applyFont="1" applyBorder="1" applyAlignment="1">
      <alignment horizontal="right"/>
    </xf>
    <xf numFmtId="0" fontId="294" fillId="0" borderId="294" xfId="0" applyFont="1" applyBorder="1" applyAlignment="1">
      <alignment horizontal="right"/>
    </xf>
    <xf numFmtId="0" fontId="295" fillId="0" borderId="295" xfId="0" applyFont="1" applyBorder="1" applyAlignment="1">
      <alignment horizontal="right"/>
    </xf>
    <xf numFmtId="0" fontId="296" fillId="0" borderId="296" xfId="0" applyFont="1" applyBorder="1" applyAlignment="1">
      <alignment horizontal="right"/>
    </xf>
    <xf numFmtId="0" fontId="297" fillId="0" borderId="297" xfId="0" applyFont="1" applyBorder="1" applyAlignment="1">
      <alignment horizontal="right"/>
    </xf>
    <xf numFmtId="0" fontId="298" fillId="0" borderId="298" xfId="0" applyFont="1" applyBorder="1" applyAlignment="1">
      <alignment horizontal="right"/>
    </xf>
    <xf numFmtId="0" fontId="299" fillId="0" borderId="299" xfId="0" applyFont="1" applyBorder="1" applyAlignment="1">
      <alignment horizontal="right"/>
    </xf>
    <xf numFmtId="0" fontId="300" fillId="0" borderId="300" xfId="0" applyFont="1" applyBorder="1" applyAlignment="1">
      <alignment horizontal="right"/>
    </xf>
    <xf numFmtId="0" fontId="301" fillId="0" borderId="301" xfId="0" applyFont="1" applyBorder="1" applyAlignment="1">
      <alignment horizontal="right"/>
    </xf>
    <xf numFmtId="0" fontId="302" fillId="0" borderId="302" xfId="0" applyFont="1" applyBorder="1" applyAlignment="1">
      <alignment horizontal="right"/>
    </xf>
    <xf numFmtId="0" fontId="303" fillId="0" borderId="303" xfId="0" applyFont="1" applyBorder="1" applyAlignment="1">
      <alignment horizontal="right"/>
    </xf>
    <xf numFmtId="0" fontId="304" fillId="0" borderId="304" xfId="0" applyFont="1" applyBorder="1" applyAlignment="1">
      <alignment horizontal="right"/>
    </xf>
    <xf numFmtId="0" fontId="305" fillId="0" borderId="305" xfId="0" applyFont="1" applyBorder="1" applyAlignment="1">
      <alignment horizontal="right"/>
    </xf>
    <xf numFmtId="0" fontId="306" fillId="0" borderId="306" xfId="0" applyFont="1" applyBorder="1" applyAlignment="1">
      <alignment horizontal="right"/>
    </xf>
    <xf numFmtId="0" fontId="307" fillId="0" borderId="307" xfId="0" applyFont="1" applyBorder="1" applyAlignment="1">
      <alignment horizontal="right"/>
    </xf>
    <xf numFmtId="0" fontId="308" fillId="0" borderId="308" xfId="0" applyFont="1" applyBorder="1" applyAlignment="1">
      <alignment horizontal="right"/>
    </xf>
    <xf numFmtId="0" fontId="309" fillId="0" borderId="309" xfId="0" applyFont="1" applyBorder="1" applyAlignment="1">
      <alignment horizontal="right"/>
    </xf>
    <xf numFmtId="0" fontId="310" fillId="0" borderId="310" xfId="0" applyFont="1" applyBorder="1" applyAlignment="1">
      <alignment horizontal="right"/>
    </xf>
    <xf numFmtId="0" fontId="311" fillId="0" borderId="311" xfId="0" applyFont="1" applyBorder="1" applyAlignment="1">
      <alignment horizontal="right"/>
    </xf>
    <xf numFmtId="0" fontId="312" fillId="0" borderId="312" xfId="0" applyFont="1" applyBorder="1" applyAlignment="1">
      <alignment horizontal="right"/>
    </xf>
    <xf numFmtId="0" fontId="313" fillId="0" borderId="313" xfId="0" applyFont="1" applyBorder="1" applyAlignment="1">
      <alignment horizontal="right"/>
    </xf>
    <xf numFmtId="0" fontId="314" fillId="0" borderId="314" xfId="0" applyFont="1" applyBorder="1" applyAlignment="1">
      <alignment horizontal="right"/>
    </xf>
    <xf numFmtId="0" fontId="315" fillId="0" borderId="315" xfId="0" applyFont="1" applyBorder="1" applyAlignment="1">
      <alignment horizontal="right"/>
    </xf>
    <xf numFmtId="0" fontId="316" fillId="0" borderId="316" xfId="0" applyFont="1" applyBorder="1" applyAlignment="1">
      <alignment horizontal="right"/>
    </xf>
    <xf numFmtId="0" fontId="317" fillId="0" borderId="317" xfId="0" applyFont="1" applyBorder="1" applyAlignment="1">
      <alignment horizontal="right"/>
    </xf>
    <xf numFmtId="0" fontId="318" fillId="0" borderId="318" xfId="0" applyFont="1" applyBorder="1" applyAlignment="1">
      <alignment horizontal="right"/>
    </xf>
    <xf numFmtId="0" fontId="319" fillId="0" borderId="319" xfId="0" applyFont="1" applyBorder="1" applyAlignment="1">
      <alignment horizontal="right"/>
    </xf>
    <xf numFmtId="0" fontId="320" fillId="0" borderId="320" xfId="0" applyFont="1" applyBorder="1" applyAlignment="1">
      <alignment horizontal="right"/>
    </xf>
    <xf numFmtId="0" fontId="321" fillId="0" borderId="321" xfId="0" applyFont="1" applyBorder="1" applyAlignment="1">
      <alignment horizontal="right"/>
    </xf>
    <xf numFmtId="0" fontId="322" fillId="0" borderId="322" xfId="0" applyFont="1" applyBorder="1" applyAlignment="1">
      <alignment horizontal="right"/>
    </xf>
    <xf numFmtId="0" fontId="323" fillId="0" borderId="323" xfId="0" applyFont="1" applyBorder="1" applyAlignment="1">
      <alignment horizontal="right"/>
    </xf>
    <xf numFmtId="0" fontId="324" fillId="0" borderId="324" xfId="0" applyFont="1" applyBorder="1" applyAlignment="1">
      <alignment horizontal="right"/>
    </xf>
    <xf numFmtId="0" fontId="325" fillId="0" borderId="325" xfId="0" applyFont="1" applyBorder="1" applyAlignment="1">
      <alignment horizontal="right"/>
    </xf>
    <xf numFmtId="0" fontId="326" fillId="0" borderId="326" xfId="0" applyFont="1" applyBorder="1" applyAlignment="1">
      <alignment horizontal="right"/>
    </xf>
    <xf numFmtId="0" fontId="327" fillId="0" borderId="327" xfId="0" applyFont="1" applyBorder="1" applyAlignment="1">
      <alignment horizontal="right"/>
    </xf>
    <xf numFmtId="0" fontId="328" fillId="0" borderId="328" xfId="0" applyFont="1" applyBorder="1" applyAlignment="1">
      <alignment horizontal="right"/>
    </xf>
    <xf numFmtId="0" fontId="329" fillId="0" borderId="329" xfId="0" applyFont="1" applyBorder="1" applyAlignment="1">
      <alignment horizontal="right"/>
    </xf>
    <xf numFmtId="0" fontId="330" fillId="0" borderId="330" xfId="0" applyFont="1" applyBorder="1" applyAlignment="1">
      <alignment horizontal="right"/>
    </xf>
    <xf numFmtId="0" fontId="331" fillId="0" borderId="331" xfId="0" applyFont="1" applyBorder="1" applyAlignment="1">
      <alignment horizontal="right"/>
    </xf>
    <xf numFmtId="0" fontId="332" fillId="0" borderId="332" xfId="0" applyFont="1" applyBorder="1" applyAlignment="1">
      <alignment horizontal="right"/>
    </xf>
    <xf numFmtId="0" fontId="333" fillId="0" borderId="333" xfId="0" applyFont="1" applyBorder="1" applyAlignment="1">
      <alignment horizontal="right"/>
    </xf>
    <xf numFmtId="0" fontId="334" fillId="0" borderId="334" xfId="0" applyFont="1" applyBorder="1" applyAlignment="1">
      <alignment horizontal="right"/>
    </xf>
    <xf numFmtId="0" fontId="335" fillId="0" borderId="335" xfId="0" applyFont="1" applyBorder="1" applyAlignment="1">
      <alignment horizontal="right"/>
    </xf>
    <xf numFmtId="0" fontId="336" fillId="0" borderId="336" xfId="0" applyFont="1" applyBorder="1" applyAlignment="1">
      <alignment horizontal="right"/>
    </xf>
    <xf numFmtId="0" fontId="337" fillId="0" borderId="337" xfId="0" applyFont="1" applyBorder="1" applyAlignment="1">
      <alignment horizontal="right"/>
    </xf>
    <xf numFmtId="0" fontId="338" fillId="0" borderId="338" xfId="0" applyFont="1" applyBorder="1" applyAlignment="1">
      <alignment horizontal="right"/>
    </xf>
    <xf numFmtId="0" fontId="339" fillId="0" borderId="339" xfId="0" applyFont="1" applyBorder="1" applyAlignment="1">
      <alignment horizontal="right"/>
    </xf>
    <xf numFmtId="0" fontId="340" fillId="0" borderId="340" xfId="0" applyFont="1" applyBorder="1" applyAlignment="1">
      <alignment horizontal="right"/>
    </xf>
    <xf numFmtId="0" fontId="341" fillId="0" borderId="341" xfId="0" applyFont="1" applyBorder="1" applyAlignment="1">
      <alignment horizontal="right"/>
    </xf>
    <xf numFmtId="0" fontId="342" fillId="0" borderId="342" xfId="0" applyFont="1" applyBorder="1" applyAlignment="1">
      <alignment horizontal="right"/>
    </xf>
    <xf numFmtId="0" fontId="343" fillId="0" borderId="343" xfId="0" applyFont="1" applyBorder="1" applyAlignment="1">
      <alignment horizontal="right"/>
    </xf>
    <xf numFmtId="0" fontId="344" fillId="0" borderId="344" xfId="0" applyFont="1" applyBorder="1" applyAlignment="1">
      <alignment horizontal="right"/>
    </xf>
    <xf numFmtId="0" fontId="345" fillId="0" borderId="345" xfId="0" applyFont="1" applyBorder="1" applyAlignment="1">
      <alignment horizontal="right"/>
    </xf>
    <xf numFmtId="0" fontId="346" fillId="0" borderId="346" xfId="0" applyFont="1" applyBorder="1" applyAlignment="1">
      <alignment horizontal="right"/>
    </xf>
    <xf numFmtId="0" fontId="347" fillId="0" borderId="347" xfId="0" applyFont="1" applyBorder="1" applyAlignment="1">
      <alignment horizontal="right"/>
    </xf>
    <xf numFmtId="0" fontId="348" fillId="0" borderId="348" xfId="0" applyFont="1" applyBorder="1" applyAlignment="1">
      <alignment horizontal="right"/>
    </xf>
    <xf numFmtId="0" fontId="349" fillId="0" borderId="349" xfId="0" applyFont="1" applyBorder="1" applyAlignment="1">
      <alignment horizontal="right"/>
    </xf>
    <xf numFmtId="0" fontId="350" fillId="0" borderId="350" xfId="0" applyFont="1" applyBorder="1" applyAlignment="1">
      <alignment horizontal="right"/>
    </xf>
    <xf numFmtId="0" fontId="351" fillId="0" borderId="351" xfId="0" applyFont="1" applyBorder="1" applyAlignment="1">
      <alignment horizontal="right"/>
    </xf>
    <xf numFmtId="0" fontId="352" fillId="0" borderId="352" xfId="0" applyFont="1" applyBorder="1" applyAlignment="1">
      <alignment horizontal="right"/>
    </xf>
    <xf numFmtId="0" fontId="353" fillId="0" borderId="353" xfId="0" applyFont="1" applyBorder="1" applyAlignment="1">
      <alignment horizontal="right"/>
    </xf>
    <xf numFmtId="0" fontId="354" fillId="0" borderId="354" xfId="0" applyFont="1" applyBorder="1" applyAlignment="1">
      <alignment horizontal="right"/>
    </xf>
    <xf numFmtId="0" fontId="355" fillId="0" borderId="355" xfId="0" applyFont="1" applyBorder="1" applyAlignment="1">
      <alignment horizontal="right"/>
    </xf>
    <xf numFmtId="0" fontId="356" fillId="0" borderId="356" xfId="0" applyFont="1" applyBorder="1" applyAlignment="1">
      <alignment horizontal="right"/>
    </xf>
    <xf numFmtId="0" fontId="357" fillId="0" borderId="357" xfId="0" applyFont="1" applyBorder="1" applyAlignment="1">
      <alignment horizontal="right"/>
    </xf>
    <xf numFmtId="0" fontId="358" fillId="0" borderId="358" xfId="0" applyFont="1" applyBorder="1" applyAlignment="1">
      <alignment horizontal="right"/>
    </xf>
    <xf numFmtId="0" fontId="359" fillId="0" borderId="359" xfId="0" applyFont="1" applyBorder="1" applyAlignment="1">
      <alignment horizontal="right"/>
    </xf>
    <xf numFmtId="0" fontId="360" fillId="0" borderId="360" xfId="0" applyFont="1" applyBorder="1" applyAlignment="1">
      <alignment horizontal="right"/>
    </xf>
    <xf numFmtId="0" fontId="361" fillId="0" borderId="361" xfId="0" applyFont="1" applyBorder="1" applyAlignment="1">
      <alignment horizontal="right"/>
    </xf>
    <xf numFmtId="0" fontId="362" fillId="0" borderId="362" xfId="0" applyFont="1" applyBorder="1" applyAlignment="1">
      <alignment horizontal="right"/>
    </xf>
    <xf numFmtId="0" fontId="363" fillId="0" borderId="363" xfId="0" applyFont="1" applyBorder="1" applyAlignment="1">
      <alignment horizontal="right"/>
    </xf>
    <xf numFmtId="0" fontId="364" fillId="0" borderId="364" xfId="0" applyFont="1" applyBorder="1" applyAlignment="1">
      <alignment horizontal="right"/>
    </xf>
    <xf numFmtId="0" fontId="365" fillId="0" borderId="365" xfId="0" applyFont="1" applyBorder="1" applyAlignment="1">
      <alignment horizontal="right"/>
    </xf>
    <xf numFmtId="0" fontId="366" fillId="0" borderId="366" xfId="0" applyFont="1" applyBorder="1" applyAlignment="1">
      <alignment horizontal="right"/>
    </xf>
    <xf numFmtId="0" fontId="367" fillId="0" borderId="367" xfId="0" applyFont="1" applyBorder="1" applyAlignment="1">
      <alignment horizontal="right"/>
    </xf>
    <xf numFmtId="0" fontId="368" fillId="0" borderId="368" xfId="0" applyFont="1" applyBorder="1" applyAlignment="1">
      <alignment horizontal="right"/>
    </xf>
    <xf numFmtId="0" fontId="369" fillId="0" borderId="369" xfId="0" applyFont="1" applyBorder="1" applyAlignment="1">
      <alignment horizontal="right"/>
    </xf>
    <xf numFmtId="0" fontId="370" fillId="0" borderId="370" xfId="0" applyFont="1" applyBorder="1" applyAlignment="1">
      <alignment horizontal="right"/>
    </xf>
    <xf numFmtId="0" fontId="371" fillId="0" borderId="371" xfId="0" applyFont="1" applyBorder="1" applyAlignment="1">
      <alignment horizontal="right"/>
    </xf>
    <xf numFmtId="0" fontId="372" fillId="0" borderId="372" xfId="0" applyFont="1" applyBorder="1" applyAlignment="1">
      <alignment horizontal="right"/>
    </xf>
    <xf numFmtId="0" fontId="373" fillId="0" borderId="373" xfId="0" applyFont="1" applyBorder="1" applyAlignment="1">
      <alignment horizontal="right"/>
    </xf>
    <xf numFmtId="0" fontId="374" fillId="0" borderId="374" xfId="0" applyFont="1" applyBorder="1" applyAlignment="1">
      <alignment horizontal="right"/>
    </xf>
    <xf numFmtId="0" fontId="375" fillId="0" borderId="375" xfId="0" applyFont="1" applyBorder="1" applyAlignment="1">
      <alignment horizontal="right"/>
    </xf>
    <xf numFmtId="0" fontId="376" fillId="0" borderId="376" xfId="0" applyFont="1" applyBorder="1" applyAlignment="1">
      <alignment horizontal="right"/>
    </xf>
    <xf numFmtId="0" fontId="377" fillId="0" borderId="377" xfId="0" applyFont="1" applyBorder="1" applyAlignment="1">
      <alignment horizontal="right"/>
    </xf>
    <xf numFmtId="0" fontId="378" fillId="0" borderId="378" xfId="0" applyFont="1" applyBorder="1" applyAlignment="1">
      <alignment horizontal="right"/>
    </xf>
    <xf numFmtId="0" fontId="379" fillId="0" borderId="379" xfId="0" applyFont="1" applyBorder="1" applyAlignment="1">
      <alignment horizontal="right"/>
    </xf>
    <xf numFmtId="0" fontId="380" fillId="0" borderId="380" xfId="0" applyFont="1" applyBorder="1" applyAlignment="1">
      <alignment horizontal="right"/>
    </xf>
    <xf numFmtId="0" fontId="381" fillId="0" borderId="381" xfId="0" applyFont="1" applyBorder="1" applyAlignment="1">
      <alignment horizontal="right"/>
    </xf>
    <xf numFmtId="0" fontId="382" fillId="0" borderId="382" xfId="0" applyFont="1" applyBorder="1" applyAlignment="1">
      <alignment horizontal="right"/>
    </xf>
    <xf numFmtId="0" fontId="383" fillId="0" borderId="383" xfId="0" applyFont="1" applyBorder="1" applyAlignment="1">
      <alignment horizontal="right"/>
    </xf>
    <xf numFmtId="0" fontId="384" fillId="0" borderId="384" xfId="0" applyFont="1" applyBorder="1" applyAlignment="1">
      <alignment horizontal="right"/>
    </xf>
    <xf numFmtId="0" fontId="385" fillId="0" borderId="385" xfId="0" applyFont="1" applyBorder="1" applyAlignment="1">
      <alignment horizontal="right"/>
    </xf>
    <xf numFmtId="0" fontId="386" fillId="0" borderId="386" xfId="0" applyFont="1" applyBorder="1" applyAlignment="1">
      <alignment horizontal="right"/>
    </xf>
    <xf numFmtId="0" fontId="387" fillId="0" borderId="387" xfId="0" applyFont="1" applyBorder="1" applyAlignment="1">
      <alignment horizontal="right"/>
    </xf>
    <xf numFmtId="0" fontId="388" fillId="0" borderId="388" xfId="0" applyFont="1" applyBorder="1" applyAlignment="1">
      <alignment horizontal="right"/>
    </xf>
    <xf numFmtId="0" fontId="389" fillId="0" borderId="389" xfId="0" applyFont="1" applyBorder="1" applyAlignment="1">
      <alignment horizontal="right"/>
    </xf>
    <xf numFmtId="0" fontId="390" fillId="0" borderId="390" xfId="0" applyFont="1" applyBorder="1" applyAlignment="1">
      <alignment horizontal="right"/>
    </xf>
    <xf numFmtId="0" fontId="391" fillId="0" borderId="391" xfId="0" applyFont="1" applyBorder="1" applyAlignment="1">
      <alignment horizontal="right"/>
    </xf>
    <xf numFmtId="0" fontId="392" fillId="0" borderId="392" xfId="0" applyFont="1" applyBorder="1" applyAlignment="1">
      <alignment horizontal="right"/>
    </xf>
    <xf numFmtId="0" fontId="393" fillId="0" borderId="393" xfId="0" applyFont="1" applyBorder="1" applyAlignment="1">
      <alignment horizontal="right"/>
    </xf>
    <xf numFmtId="0" fontId="394" fillId="0" borderId="394" xfId="0" applyFont="1" applyBorder="1" applyAlignment="1">
      <alignment horizontal="right"/>
    </xf>
    <xf numFmtId="0" fontId="395" fillId="0" borderId="395" xfId="0" applyFont="1" applyBorder="1" applyAlignment="1">
      <alignment horizontal="right"/>
    </xf>
    <xf numFmtId="0" fontId="396" fillId="0" borderId="396" xfId="0" applyFont="1" applyBorder="1" applyAlignment="1">
      <alignment horizontal="right"/>
    </xf>
    <xf numFmtId="0" fontId="397" fillId="0" borderId="397" xfId="0" applyFont="1" applyBorder="1" applyAlignment="1">
      <alignment horizontal="right"/>
    </xf>
    <xf numFmtId="0" fontId="398" fillId="0" borderId="398" xfId="0" applyFont="1" applyBorder="1" applyAlignment="1">
      <alignment horizontal="right"/>
    </xf>
    <xf numFmtId="0" fontId="399" fillId="0" borderId="399" xfId="0" applyFont="1" applyBorder="1" applyAlignment="1">
      <alignment horizontal="right"/>
    </xf>
    <xf numFmtId="0" fontId="400" fillId="0" borderId="400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topLeftCell="A44" workbookViewId="0">
      <selection activeCell="I61" sqref="I61:K79"/>
    </sheetView>
  </sheetViews>
  <sheetFormatPr baseColWidth="10" defaultColWidth="8.83203125" defaultRowHeight="15" x14ac:dyDescent="0.2"/>
  <cols>
    <col min="1" max="1" width="29.1640625" customWidth="1"/>
    <col min="10" max="10" width="11.33203125" customWidth="1"/>
  </cols>
  <sheetData>
    <row r="1" spans="1:11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K1" s="3" t="s">
        <v>2</v>
      </c>
    </row>
    <row r="2" spans="1:11" x14ac:dyDescent="0.2">
      <c r="A2" s="6" t="s">
        <v>5</v>
      </c>
      <c r="B2" s="7">
        <v>1.4728870000000001</v>
      </c>
      <c r="C2" s="8">
        <v>0.04</v>
      </c>
      <c r="D2" s="9">
        <v>1.01807</v>
      </c>
      <c r="E2" s="10">
        <v>2.1308910000000001</v>
      </c>
      <c r="I2">
        <f>ROUND(B2,2)</f>
        <v>1.47</v>
      </c>
      <c r="J2" t="str">
        <f>"["&amp;ROUND(D2,2)&amp;", "&amp;ROUND(E2,2)&amp;"]"</f>
        <v>[1.02, 2.13]</v>
      </c>
      <c r="K2" s="8">
        <v>0.04</v>
      </c>
    </row>
    <row r="3" spans="1:11" x14ac:dyDescent="0.2">
      <c r="A3" s="11" t="s">
        <v>6</v>
      </c>
      <c r="B3" s="12">
        <v>1.23099</v>
      </c>
      <c r="C3" s="13">
        <v>0.25900000000000001</v>
      </c>
      <c r="D3" s="14">
        <v>0.85810830000000005</v>
      </c>
      <c r="E3" s="15">
        <v>1.765903</v>
      </c>
      <c r="I3">
        <f t="shared" ref="I3:I66" si="0">ROUND(B3,2)</f>
        <v>1.23</v>
      </c>
      <c r="J3" t="str">
        <f t="shared" ref="J3:J66" si="1">"["&amp;ROUND(D3,2)&amp;", "&amp;ROUND(E3,2)&amp;"]"</f>
        <v>[0.86, 1.77]</v>
      </c>
      <c r="K3" s="13">
        <v>0.25900000000000001</v>
      </c>
    </row>
    <row r="4" spans="1:11" x14ac:dyDescent="0.2">
      <c r="A4" s="16" t="s">
        <v>7</v>
      </c>
      <c r="B4" s="17">
        <v>2.0368409999999999</v>
      </c>
      <c r="C4" s="18">
        <v>0</v>
      </c>
      <c r="D4" s="19">
        <v>1.3949499999999999</v>
      </c>
      <c r="E4" s="20">
        <v>2.9741</v>
      </c>
      <c r="I4">
        <f t="shared" si="0"/>
        <v>2.04</v>
      </c>
      <c r="J4" t="str">
        <f t="shared" si="1"/>
        <v>[1.39, 2.97]</v>
      </c>
      <c r="K4" s="18">
        <v>0</v>
      </c>
    </row>
    <row r="5" spans="1:11" x14ac:dyDescent="0.2">
      <c r="A5" s="21" t="s">
        <v>8</v>
      </c>
      <c r="B5" s="22">
        <v>1.199114</v>
      </c>
      <c r="C5" s="23">
        <v>0.32500000000000001</v>
      </c>
      <c r="D5" s="24">
        <v>0.83530530000000003</v>
      </c>
      <c r="E5" s="25">
        <v>1.7213769999999999</v>
      </c>
      <c r="I5">
        <f t="shared" si="0"/>
        <v>1.2</v>
      </c>
      <c r="J5" t="str">
        <f t="shared" si="1"/>
        <v>[0.84, 1.72]</v>
      </c>
      <c r="K5" s="23">
        <v>0.32500000000000001</v>
      </c>
    </row>
    <row r="6" spans="1:11" x14ac:dyDescent="0.2">
      <c r="A6" s="26" t="s">
        <v>9</v>
      </c>
      <c r="B6" s="27">
        <v>1.212412</v>
      </c>
      <c r="C6" s="28">
        <v>0.30499999999999999</v>
      </c>
      <c r="D6" s="29">
        <v>0.83905479999999999</v>
      </c>
      <c r="E6" s="30">
        <v>1.7519020000000001</v>
      </c>
      <c r="I6">
        <f t="shared" si="0"/>
        <v>1.21</v>
      </c>
      <c r="J6" t="str">
        <f t="shared" si="1"/>
        <v>[0.84, 1.75]</v>
      </c>
      <c r="K6" s="28">
        <v>0.30499999999999999</v>
      </c>
    </row>
    <row r="7" spans="1:11" x14ac:dyDescent="0.2">
      <c r="A7" s="31" t="s">
        <v>10</v>
      </c>
      <c r="B7" s="32">
        <v>1.2417879999999999</v>
      </c>
      <c r="C7" s="33">
        <v>0.52800000000000002</v>
      </c>
      <c r="D7" s="34">
        <v>0.63377470000000002</v>
      </c>
      <c r="E7" s="35">
        <v>2.4331</v>
      </c>
      <c r="I7">
        <f t="shared" si="0"/>
        <v>1.24</v>
      </c>
      <c r="J7" t="str">
        <f t="shared" si="1"/>
        <v>[0.63, 2.43]</v>
      </c>
      <c r="K7" s="33">
        <v>0.52800000000000002</v>
      </c>
    </row>
    <row r="8" spans="1:11" x14ac:dyDescent="0.2">
      <c r="A8" s="36" t="s">
        <v>11</v>
      </c>
      <c r="B8" s="37">
        <v>0.81779970000000002</v>
      </c>
      <c r="C8" s="38">
        <v>0.79900000000000004</v>
      </c>
      <c r="D8" s="39">
        <v>0.1738912</v>
      </c>
      <c r="E8" s="40">
        <v>3.8460619999999999</v>
      </c>
      <c r="I8">
        <f t="shared" si="0"/>
        <v>0.82</v>
      </c>
      <c r="J8" t="str">
        <f t="shared" si="1"/>
        <v>[0.17, 3.85]</v>
      </c>
      <c r="K8" s="38">
        <v>0.79900000000000004</v>
      </c>
    </row>
    <row r="9" spans="1:11" x14ac:dyDescent="0.2">
      <c r="A9" s="41" t="s">
        <v>12</v>
      </c>
      <c r="B9" s="42">
        <v>0.31503789999999998</v>
      </c>
      <c r="C9" s="43">
        <v>0.28499999999999998</v>
      </c>
      <c r="D9" s="44">
        <v>3.7920200000000001E-2</v>
      </c>
      <c r="E9" s="45">
        <v>2.6173109999999999</v>
      </c>
      <c r="I9">
        <f t="shared" si="0"/>
        <v>0.32</v>
      </c>
      <c r="J9" t="str">
        <f t="shared" si="1"/>
        <v>[0.04, 2.62]</v>
      </c>
      <c r="K9" s="43">
        <v>0.28499999999999998</v>
      </c>
    </row>
    <row r="10" spans="1:11" x14ac:dyDescent="0.2">
      <c r="A10" s="46" t="s">
        <v>13</v>
      </c>
      <c r="B10" s="47">
        <v>0.76827100000000004</v>
      </c>
      <c r="C10" s="48">
        <v>0.35499999999999998</v>
      </c>
      <c r="D10" s="49">
        <v>0.43948700000000002</v>
      </c>
      <c r="E10" s="50">
        <v>1.343021</v>
      </c>
      <c r="I10">
        <f t="shared" si="0"/>
        <v>0.77</v>
      </c>
      <c r="J10" t="str">
        <f t="shared" si="1"/>
        <v>[0.44, 1.34]</v>
      </c>
      <c r="K10" s="48">
        <v>0.35499999999999998</v>
      </c>
    </row>
    <row r="11" spans="1:11" x14ac:dyDescent="0.2">
      <c r="A11" s="51" t="s">
        <v>14</v>
      </c>
      <c r="B11" s="52">
        <v>1.1545589999999999</v>
      </c>
      <c r="C11" s="53">
        <v>0.76800000000000002</v>
      </c>
      <c r="D11" s="54">
        <v>0.44457869999999999</v>
      </c>
      <c r="E11" s="55">
        <v>2.9983580000000001</v>
      </c>
      <c r="I11">
        <f t="shared" si="0"/>
        <v>1.1499999999999999</v>
      </c>
      <c r="J11" t="str">
        <f t="shared" si="1"/>
        <v>[0.44, 3]</v>
      </c>
      <c r="K11" s="53">
        <v>0.76800000000000002</v>
      </c>
    </row>
    <row r="12" spans="1:11" x14ac:dyDescent="0.2">
      <c r="A12" s="56" t="s">
        <v>4</v>
      </c>
      <c r="B12" s="57" t="s">
        <v>4</v>
      </c>
      <c r="C12" s="58" t="s">
        <v>4</v>
      </c>
      <c r="D12" s="59" t="s">
        <v>4</v>
      </c>
      <c r="E12" s="60" t="s">
        <v>4</v>
      </c>
      <c r="I12" t="e">
        <f t="shared" si="0"/>
        <v>#VALUE!</v>
      </c>
      <c r="J12" t="e">
        <f t="shared" si="1"/>
        <v>#VALUE!</v>
      </c>
      <c r="K12" s="58" t="s">
        <v>4</v>
      </c>
    </row>
    <row r="13" spans="1:11" x14ac:dyDescent="0.2">
      <c r="A13" s="61" t="s">
        <v>15</v>
      </c>
      <c r="B13" s="62" t="s">
        <v>4</v>
      </c>
      <c r="C13" s="63" t="s">
        <v>4</v>
      </c>
      <c r="D13" s="64" t="s">
        <v>4</v>
      </c>
      <c r="E13" s="65" t="s">
        <v>4</v>
      </c>
      <c r="I13" t="e">
        <f t="shared" si="0"/>
        <v>#VALUE!</v>
      </c>
      <c r="J13" t="e">
        <f t="shared" si="1"/>
        <v>#VALUE!</v>
      </c>
      <c r="K13" s="63" t="s">
        <v>4</v>
      </c>
    </row>
    <row r="14" spans="1:11" x14ac:dyDescent="0.2">
      <c r="A14" s="66" t="s">
        <v>16</v>
      </c>
      <c r="B14" s="67">
        <v>0.44739089999999998</v>
      </c>
      <c r="C14" s="68">
        <v>0</v>
      </c>
      <c r="D14" s="69">
        <v>0.34210220000000002</v>
      </c>
      <c r="E14" s="70">
        <v>0.5850843</v>
      </c>
      <c r="I14">
        <f t="shared" si="0"/>
        <v>0.45</v>
      </c>
      <c r="J14" t="str">
        <f t="shared" si="1"/>
        <v>[0.34, 0.59]</v>
      </c>
      <c r="K14" s="68">
        <v>0</v>
      </c>
    </row>
    <row r="15" spans="1:11" x14ac:dyDescent="0.2">
      <c r="A15" s="71" t="s">
        <v>17</v>
      </c>
      <c r="B15" s="72">
        <v>0.4064796</v>
      </c>
      <c r="C15" s="73">
        <v>0.40799999999999997</v>
      </c>
      <c r="D15" s="74">
        <v>4.8160599999999998E-2</v>
      </c>
      <c r="E15" s="75">
        <v>3.4307210000000001</v>
      </c>
      <c r="I15">
        <f t="shared" si="0"/>
        <v>0.41</v>
      </c>
      <c r="J15" t="str">
        <f t="shared" si="1"/>
        <v>[0.05, 3.43]</v>
      </c>
      <c r="K15" s="73">
        <v>0.40799999999999997</v>
      </c>
    </row>
    <row r="16" spans="1:11" x14ac:dyDescent="0.2">
      <c r="A16" s="76" t="s">
        <v>18</v>
      </c>
      <c r="B16" s="77">
        <v>0.25996279999999999</v>
      </c>
      <c r="C16" s="78">
        <v>0</v>
      </c>
      <c r="D16" s="79">
        <v>0.14528550000000001</v>
      </c>
      <c r="E16" s="80">
        <v>0.46515770000000001</v>
      </c>
      <c r="I16">
        <f t="shared" si="0"/>
        <v>0.26</v>
      </c>
      <c r="J16" t="str">
        <f t="shared" si="1"/>
        <v>[0.15, 0.47]</v>
      </c>
      <c r="K16" s="78">
        <v>0</v>
      </c>
    </row>
    <row r="17" spans="1:11" x14ac:dyDescent="0.2">
      <c r="A17" s="81" t="s">
        <v>4</v>
      </c>
      <c r="B17" s="82" t="s">
        <v>4</v>
      </c>
      <c r="C17" s="83" t="s">
        <v>4</v>
      </c>
      <c r="D17" s="84" t="s">
        <v>4</v>
      </c>
      <c r="E17" s="85" t="s">
        <v>4</v>
      </c>
      <c r="I17" t="e">
        <f t="shared" si="0"/>
        <v>#VALUE!</v>
      </c>
      <c r="J17" t="e">
        <f t="shared" si="1"/>
        <v>#VALUE!</v>
      </c>
      <c r="K17" s="83" t="s">
        <v>4</v>
      </c>
    </row>
    <row r="18" spans="1:11" x14ac:dyDescent="0.2">
      <c r="A18" s="86" t="s">
        <v>19</v>
      </c>
      <c r="B18" s="87" t="s">
        <v>4</v>
      </c>
      <c r="C18" s="88" t="s">
        <v>4</v>
      </c>
      <c r="D18" s="89" t="s">
        <v>4</v>
      </c>
      <c r="E18" s="90" t="s">
        <v>4</v>
      </c>
      <c r="I18" t="e">
        <f t="shared" si="0"/>
        <v>#VALUE!</v>
      </c>
      <c r="J18" t="e">
        <f t="shared" si="1"/>
        <v>#VALUE!</v>
      </c>
      <c r="K18" s="88" t="s">
        <v>4</v>
      </c>
    </row>
    <row r="19" spans="1:11" x14ac:dyDescent="0.2">
      <c r="A19" s="91" t="s">
        <v>16</v>
      </c>
      <c r="B19" s="92">
        <v>0.46056540000000001</v>
      </c>
      <c r="C19" s="93">
        <v>0</v>
      </c>
      <c r="D19" s="94">
        <v>0.397034</v>
      </c>
      <c r="E19" s="95">
        <v>0.53426280000000004</v>
      </c>
      <c r="I19">
        <f t="shared" si="0"/>
        <v>0.46</v>
      </c>
      <c r="J19" t="str">
        <f t="shared" si="1"/>
        <v>[0.4, 0.53]</v>
      </c>
      <c r="K19" s="93">
        <v>0</v>
      </c>
    </row>
    <row r="20" spans="1:11" x14ac:dyDescent="0.2">
      <c r="A20" s="96" t="s">
        <v>17</v>
      </c>
      <c r="B20" s="97">
        <v>1.7143029999999999</v>
      </c>
      <c r="C20" s="98">
        <v>6.0000000000000001E-3</v>
      </c>
      <c r="D20" s="99">
        <v>1.1670970000000001</v>
      </c>
      <c r="E20" s="100">
        <v>2.5180709999999999</v>
      </c>
      <c r="I20">
        <f t="shared" si="0"/>
        <v>1.71</v>
      </c>
      <c r="J20" t="str">
        <f t="shared" si="1"/>
        <v>[1.17, 2.52]</v>
      </c>
      <c r="K20" s="98">
        <v>6.0000000000000001E-3</v>
      </c>
    </row>
    <row r="21" spans="1:11" x14ac:dyDescent="0.2">
      <c r="A21" s="101" t="s">
        <v>18</v>
      </c>
      <c r="B21" s="102">
        <v>0.40615869999999998</v>
      </c>
      <c r="C21" s="103">
        <v>0</v>
      </c>
      <c r="D21" s="104">
        <v>0.28302549999999999</v>
      </c>
      <c r="E21" s="105">
        <v>0.58286249999999995</v>
      </c>
      <c r="I21">
        <f t="shared" si="0"/>
        <v>0.41</v>
      </c>
      <c r="J21" t="str">
        <f t="shared" si="1"/>
        <v>[0.28, 0.58]</v>
      </c>
      <c r="K21" s="103">
        <v>0</v>
      </c>
    </row>
    <row r="22" spans="1:11" x14ac:dyDescent="0.2">
      <c r="A22" s="106" t="s">
        <v>4</v>
      </c>
      <c r="B22" s="107" t="s">
        <v>4</v>
      </c>
      <c r="C22" s="108" t="s">
        <v>4</v>
      </c>
      <c r="D22" s="109" t="s">
        <v>4</v>
      </c>
      <c r="E22" s="110" t="s">
        <v>4</v>
      </c>
      <c r="I22" t="e">
        <f t="shared" si="0"/>
        <v>#VALUE!</v>
      </c>
      <c r="J22" t="e">
        <f t="shared" si="1"/>
        <v>#VALUE!</v>
      </c>
      <c r="K22" s="108" t="s">
        <v>4</v>
      </c>
    </row>
    <row r="23" spans="1:11" x14ac:dyDescent="0.2">
      <c r="A23" s="111" t="s">
        <v>20</v>
      </c>
      <c r="B23" s="112" t="s">
        <v>4</v>
      </c>
      <c r="C23" s="113" t="s">
        <v>4</v>
      </c>
      <c r="D23" s="114" t="s">
        <v>4</v>
      </c>
      <c r="E23" s="115" t="s">
        <v>4</v>
      </c>
      <c r="I23" t="e">
        <f t="shared" si="0"/>
        <v>#VALUE!</v>
      </c>
      <c r="J23" t="e">
        <f t="shared" si="1"/>
        <v>#VALUE!</v>
      </c>
      <c r="K23" s="113" t="s">
        <v>4</v>
      </c>
    </row>
    <row r="24" spans="1:11" x14ac:dyDescent="0.2">
      <c r="A24" s="116" t="s">
        <v>16</v>
      </c>
      <c r="B24" s="117">
        <v>0.55079579999999995</v>
      </c>
      <c r="C24" s="118">
        <v>0.03</v>
      </c>
      <c r="D24" s="119">
        <v>0.32191029999999998</v>
      </c>
      <c r="E24" s="120">
        <v>0.94242409999999999</v>
      </c>
      <c r="I24">
        <f t="shared" si="0"/>
        <v>0.55000000000000004</v>
      </c>
      <c r="J24" t="str">
        <f t="shared" si="1"/>
        <v>[0.32, 0.94]</v>
      </c>
      <c r="K24" s="118">
        <v>0.03</v>
      </c>
    </row>
    <row r="25" spans="1:11" x14ac:dyDescent="0.2">
      <c r="A25" s="121" t="s">
        <v>17</v>
      </c>
      <c r="B25" s="122">
        <v>1.2399739999999999</v>
      </c>
      <c r="C25" s="123">
        <v>0.375</v>
      </c>
      <c r="D25" s="124">
        <v>0.77077870000000004</v>
      </c>
      <c r="E25" s="125">
        <v>1.9947820000000001</v>
      </c>
      <c r="I25">
        <f t="shared" si="0"/>
        <v>1.24</v>
      </c>
      <c r="J25" t="str">
        <f t="shared" si="1"/>
        <v>[0.77, 1.99]</v>
      </c>
      <c r="K25" s="123">
        <v>0.375</v>
      </c>
    </row>
    <row r="26" spans="1:11" x14ac:dyDescent="0.2">
      <c r="A26" s="126" t="s">
        <v>18</v>
      </c>
      <c r="B26" s="127">
        <v>0.54512729999999998</v>
      </c>
      <c r="C26" s="128">
        <v>7.0999999999999994E-2</v>
      </c>
      <c r="D26" s="129">
        <v>0.28238990000000003</v>
      </c>
      <c r="E26" s="130">
        <v>1.0523180000000001</v>
      </c>
      <c r="I26">
        <f t="shared" si="0"/>
        <v>0.55000000000000004</v>
      </c>
      <c r="J26" t="str">
        <f t="shared" si="1"/>
        <v>[0.28, 1.05]</v>
      </c>
      <c r="K26" s="128">
        <v>7.0999999999999994E-2</v>
      </c>
    </row>
    <row r="27" spans="1:11" x14ac:dyDescent="0.2">
      <c r="A27" s="131" t="s">
        <v>4</v>
      </c>
      <c r="B27" s="132" t="s">
        <v>4</v>
      </c>
      <c r="C27" s="133" t="s">
        <v>4</v>
      </c>
      <c r="D27" s="134" t="s">
        <v>4</v>
      </c>
      <c r="E27" s="135" t="s">
        <v>4</v>
      </c>
      <c r="I27" t="e">
        <f t="shared" si="0"/>
        <v>#VALUE!</v>
      </c>
      <c r="J27" t="e">
        <f t="shared" si="1"/>
        <v>#VALUE!</v>
      </c>
      <c r="K27" s="133" t="s">
        <v>4</v>
      </c>
    </row>
    <row r="28" spans="1:11" x14ac:dyDescent="0.2">
      <c r="A28" s="136" t="s">
        <v>21</v>
      </c>
      <c r="B28" s="137">
        <v>0.61956929999999999</v>
      </c>
      <c r="C28" s="138">
        <v>0</v>
      </c>
      <c r="D28" s="139">
        <v>0.51808290000000001</v>
      </c>
      <c r="E28" s="140">
        <v>0.74093589999999998</v>
      </c>
      <c r="I28">
        <f t="shared" si="0"/>
        <v>0.62</v>
      </c>
      <c r="J28" t="str">
        <f t="shared" si="1"/>
        <v>[0.52, 0.74]</v>
      </c>
      <c r="K28" s="138">
        <v>0</v>
      </c>
    </row>
    <row r="29" spans="1:11" x14ac:dyDescent="0.2">
      <c r="A29" s="141" t="s">
        <v>22</v>
      </c>
      <c r="B29" s="142">
        <v>0.94093000000000004</v>
      </c>
      <c r="C29" s="143">
        <v>0.12</v>
      </c>
      <c r="D29" s="144">
        <v>0.87133170000000004</v>
      </c>
      <c r="E29" s="145">
        <v>1.0160880000000001</v>
      </c>
      <c r="I29">
        <f t="shared" si="0"/>
        <v>0.94</v>
      </c>
      <c r="J29" t="str">
        <f t="shared" si="1"/>
        <v>[0.87, 1.02]</v>
      </c>
      <c r="K29" s="143">
        <v>0.12</v>
      </c>
    </row>
    <row r="30" spans="1:11" x14ac:dyDescent="0.2">
      <c r="A30" s="146" t="s">
        <v>23</v>
      </c>
      <c r="B30" s="147">
        <v>0.3712376</v>
      </c>
      <c r="C30" s="148">
        <v>0</v>
      </c>
      <c r="D30" s="149">
        <v>0.33866020000000002</v>
      </c>
      <c r="E30" s="150">
        <v>0.40694859999999999</v>
      </c>
      <c r="I30">
        <f t="shared" si="0"/>
        <v>0.37</v>
      </c>
      <c r="J30" t="str">
        <f t="shared" si="1"/>
        <v>[0.34, 0.41]</v>
      </c>
      <c r="K30" s="148">
        <v>0</v>
      </c>
    </row>
    <row r="31" spans="1:11" x14ac:dyDescent="0.2">
      <c r="A31" s="151" t="s">
        <v>24</v>
      </c>
      <c r="B31" s="152">
        <v>0.61696439999999997</v>
      </c>
      <c r="C31" s="153">
        <v>0</v>
      </c>
      <c r="D31" s="154">
        <v>0.57512439999999998</v>
      </c>
      <c r="E31" s="155">
        <v>0.6618482</v>
      </c>
      <c r="I31">
        <f t="shared" si="0"/>
        <v>0.62</v>
      </c>
      <c r="J31" t="str">
        <f t="shared" si="1"/>
        <v>[0.58, 0.66]</v>
      </c>
      <c r="K31" s="153">
        <v>0</v>
      </c>
    </row>
    <row r="32" spans="1:11" x14ac:dyDescent="0.2">
      <c r="A32" s="156" t="s">
        <v>25</v>
      </c>
      <c r="B32" s="157">
        <v>1.0260590000000001</v>
      </c>
      <c r="C32" s="158">
        <v>0.49</v>
      </c>
      <c r="D32" s="159">
        <v>0.95381760000000004</v>
      </c>
      <c r="E32" s="160">
        <v>1.103772</v>
      </c>
      <c r="I32">
        <f t="shared" si="0"/>
        <v>1.03</v>
      </c>
      <c r="J32" t="str">
        <f t="shared" si="1"/>
        <v>[0.95, 1.1]</v>
      </c>
      <c r="K32" s="158">
        <v>0.49</v>
      </c>
    </row>
    <row r="33" spans="1:11" x14ac:dyDescent="0.2">
      <c r="A33" s="161" t="s">
        <v>26</v>
      </c>
      <c r="B33" s="162">
        <v>1.32196</v>
      </c>
      <c r="C33" s="163">
        <v>0</v>
      </c>
      <c r="D33" s="164">
        <v>1.216804</v>
      </c>
      <c r="E33" s="165">
        <v>1.4362029999999999</v>
      </c>
      <c r="I33">
        <f t="shared" si="0"/>
        <v>1.32</v>
      </c>
      <c r="J33" t="str">
        <f t="shared" si="1"/>
        <v>[1.22, 1.44]</v>
      </c>
      <c r="K33" s="163">
        <v>0</v>
      </c>
    </row>
    <row r="34" spans="1:11" x14ac:dyDescent="0.2">
      <c r="A34" s="166" t="s">
        <v>27</v>
      </c>
      <c r="B34" s="167">
        <v>1.344665</v>
      </c>
      <c r="C34" s="168">
        <v>1E-3</v>
      </c>
      <c r="D34" s="169">
        <v>1.120506</v>
      </c>
      <c r="E34" s="170">
        <v>1.613667</v>
      </c>
      <c r="I34">
        <f t="shared" si="0"/>
        <v>1.34</v>
      </c>
      <c r="J34" t="str">
        <f t="shared" si="1"/>
        <v>[1.12, 1.61]</v>
      </c>
      <c r="K34" s="168">
        <v>1E-3</v>
      </c>
    </row>
    <row r="35" spans="1:11" x14ac:dyDescent="0.2">
      <c r="A35" s="171" t="s">
        <v>28</v>
      </c>
      <c r="B35" s="172">
        <v>0.75061389999999995</v>
      </c>
      <c r="C35" s="173">
        <v>0</v>
      </c>
      <c r="D35" s="174">
        <v>0.66580640000000002</v>
      </c>
      <c r="E35" s="175">
        <v>0.84622370000000002</v>
      </c>
      <c r="I35">
        <f t="shared" si="0"/>
        <v>0.75</v>
      </c>
      <c r="J35" t="str">
        <f t="shared" si="1"/>
        <v>[0.67, 0.85]</v>
      </c>
      <c r="K35" s="173">
        <v>0</v>
      </c>
    </row>
    <row r="36" spans="1:11" x14ac:dyDescent="0.2">
      <c r="A36" s="176" t="s">
        <v>29</v>
      </c>
      <c r="B36" s="177">
        <v>0.67064639999999998</v>
      </c>
      <c r="C36" s="178">
        <v>0</v>
      </c>
      <c r="D36" s="179">
        <v>0.59862090000000001</v>
      </c>
      <c r="E36" s="180">
        <v>0.75133799999999995</v>
      </c>
      <c r="I36">
        <f t="shared" si="0"/>
        <v>0.67</v>
      </c>
      <c r="J36" t="str">
        <f t="shared" si="1"/>
        <v>[0.6, 0.75]</v>
      </c>
      <c r="K36" s="178">
        <v>0</v>
      </c>
    </row>
    <row r="37" spans="1:11" x14ac:dyDescent="0.2">
      <c r="A37" s="181" t="s">
        <v>30</v>
      </c>
      <c r="B37" s="182">
        <v>0.57032070000000001</v>
      </c>
      <c r="C37" s="183">
        <v>0</v>
      </c>
      <c r="D37" s="184">
        <v>0.50482890000000002</v>
      </c>
      <c r="E37" s="185">
        <v>0.64430889999999996</v>
      </c>
      <c r="I37">
        <f t="shared" si="0"/>
        <v>0.56999999999999995</v>
      </c>
      <c r="J37" t="str">
        <f t="shared" si="1"/>
        <v>[0.5, 0.64]</v>
      </c>
      <c r="K37" s="183">
        <v>0</v>
      </c>
    </row>
    <row r="38" spans="1:11" x14ac:dyDescent="0.2">
      <c r="A38" s="186" t="s">
        <v>31</v>
      </c>
      <c r="B38" s="187">
        <v>0.78277050000000004</v>
      </c>
      <c r="C38" s="188">
        <v>1E-3</v>
      </c>
      <c r="D38" s="189">
        <v>0.67566930000000003</v>
      </c>
      <c r="E38" s="190">
        <v>0.90684849999999995</v>
      </c>
      <c r="I38">
        <f t="shared" si="0"/>
        <v>0.78</v>
      </c>
      <c r="J38" t="str">
        <f t="shared" si="1"/>
        <v>[0.68, 0.91]</v>
      </c>
      <c r="K38" s="188">
        <v>1E-3</v>
      </c>
    </row>
    <row r="39" spans="1:11" x14ac:dyDescent="0.2">
      <c r="A39" s="191" t="s">
        <v>32</v>
      </c>
      <c r="B39" s="192">
        <v>1.0019</v>
      </c>
      <c r="C39" s="193">
        <v>0.77100000000000002</v>
      </c>
      <c r="D39" s="194">
        <v>0.98920240000000004</v>
      </c>
      <c r="E39" s="195">
        <v>1.0147600000000001</v>
      </c>
      <c r="I39">
        <f t="shared" si="0"/>
        <v>1</v>
      </c>
      <c r="J39" t="str">
        <f t="shared" si="1"/>
        <v>[0.99, 1.01]</v>
      </c>
      <c r="K39" s="193">
        <v>0.77100000000000002</v>
      </c>
    </row>
    <row r="40" spans="1:11" x14ac:dyDescent="0.2">
      <c r="A40" s="196" t="s">
        <v>33</v>
      </c>
      <c r="B40" s="197">
        <v>0.91727709999999996</v>
      </c>
      <c r="C40" s="198">
        <v>0.33600000000000002</v>
      </c>
      <c r="D40" s="199">
        <v>0.7693141</v>
      </c>
      <c r="E40" s="200">
        <v>1.0936980000000001</v>
      </c>
      <c r="I40">
        <f t="shared" si="0"/>
        <v>0.92</v>
      </c>
      <c r="J40" t="str">
        <f t="shared" si="1"/>
        <v>[0.77, 1.09]</v>
      </c>
      <c r="K40" s="198">
        <v>0.33600000000000002</v>
      </c>
    </row>
    <row r="41" spans="1:11" x14ac:dyDescent="0.2">
      <c r="A41" s="201" t="s">
        <v>34</v>
      </c>
      <c r="B41" s="202">
        <v>0.7453843</v>
      </c>
      <c r="C41" s="203">
        <v>0</v>
      </c>
      <c r="D41" s="204">
        <v>0.68389120000000003</v>
      </c>
      <c r="E41" s="205">
        <v>0.81240670000000004</v>
      </c>
      <c r="I41">
        <f t="shared" si="0"/>
        <v>0.75</v>
      </c>
      <c r="J41" t="str">
        <f t="shared" si="1"/>
        <v>[0.68, 0.81]</v>
      </c>
      <c r="K41" s="203">
        <v>0</v>
      </c>
    </row>
    <row r="42" spans="1:11" x14ac:dyDescent="0.2">
      <c r="A42" s="206" t="s">
        <v>35</v>
      </c>
      <c r="B42" s="207">
        <v>0.58294829999999997</v>
      </c>
      <c r="C42" s="208">
        <v>0</v>
      </c>
      <c r="D42" s="209">
        <v>0.4834618</v>
      </c>
      <c r="E42" s="210">
        <v>0.70290710000000001</v>
      </c>
      <c r="I42">
        <f t="shared" si="0"/>
        <v>0.57999999999999996</v>
      </c>
      <c r="J42" t="str">
        <f t="shared" si="1"/>
        <v>[0.48, 0.7]</v>
      </c>
      <c r="K42" s="208">
        <v>0</v>
      </c>
    </row>
    <row r="43" spans="1:11" x14ac:dyDescent="0.2">
      <c r="A43" s="211" t="s">
        <v>36</v>
      </c>
      <c r="B43" s="212">
        <v>0.6636474</v>
      </c>
      <c r="C43" s="213">
        <v>0</v>
      </c>
      <c r="D43" s="214">
        <v>0.59131500000000004</v>
      </c>
      <c r="E43" s="215">
        <v>0.74482789999999999</v>
      </c>
      <c r="I43">
        <f t="shared" si="0"/>
        <v>0.66</v>
      </c>
      <c r="J43" t="str">
        <f t="shared" si="1"/>
        <v>[0.59, 0.74]</v>
      </c>
      <c r="K43" s="213">
        <v>0</v>
      </c>
    </row>
    <row r="44" spans="1:11" x14ac:dyDescent="0.2">
      <c r="A44" s="216" t="s">
        <v>37</v>
      </c>
      <c r="B44" s="217">
        <v>0.65605809999999998</v>
      </c>
      <c r="C44" s="218">
        <v>0</v>
      </c>
      <c r="D44" s="219">
        <v>0.58645329999999996</v>
      </c>
      <c r="E44" s="220">
        <v>0.73392409999999997</v>
      </c>
      <c r="I44">
        <f t="shared" si="0"/>
        <v>0.66</v>
      </c>
      <c r="J44" t="str">
        <f t="shared" si="1"/>
        <v>[0.59, 0.73]</v>
      </c>
      <c r="K44" s="218">
        <v>0</v>
      </c>
    </row>
    <row r="45" spans="1:11" x14ac:dyDescent="0.2">
      <c r="A45" s="221" t="s">
        <v>38</v>
      </c>
      <c r="B45" s="222">
        <v>0.50609150000000003</v>
      </c>
      <c r="C45" s="223">
        <v>0.08</v>
      </c>
      <c r="D45" s="224">
        <v>0.23610020000000001</v>
      </c>
      <c r="E45" s="225">
        <v>1.08483</v>
      </c>
      <c r="I45">
        <f t="shared" si="0"/>
        <v>0.51</v>
      </c>
      <c r="J45" t="str">
        <f t="shared" si="1"/>
        <v>[0.24, 1.08]</v>
      </c>
      <c r="K45" s="223">
        <v>0.08</v>
      </c>
    </row>
    <row r="46" spans="1:11" x14ac:dyDescent="0.2">
      <c r="A46" s="226" t="s">
        <v>39</v>
      </c>
      <c r="B46" s="227">
        <v>1.2591540000000001</v>
      </c>
      <c r="C46" s="228">
        <v>0</v>
      </c>
      <c r="D46" s="229">
        <v>1.199057</v>
      </c>
      <c r="E46" s="230">
        <v>1.322263</v>
      </c>
      <c r="I46">
        <f t="shared" si="0"/>
        <v>1.26</v>
      </c>
      <c r="J46" t="str">
        <f t="shared" si="1"/>
        <v>[1.2, 1.32]</v>
      </c>
      <c r="K46" s="228">
        <v>0</v>
      </c>
    </row>
    <row r="47" spans="1:11" x14ac:dyDescent="0.2">
      <c r="A47" s="231" t="s">
        <v>40</v>
      </c>
      <c r="B47" s="232">
        <v>0.88349639999999996</v>
      </c>
      <c r="C47" s="233">
        <v>0</v>
      </c>
      <c r="D47" s="234">
        <v>0.85765449999999999</v>
      </c>
      <c r="E47" s="235">
        <v>0.91011690000000001</v>
      </c>
      <c r="I47">
        <f t="shared" si="0"/>
        <v>0.88</v>
      </c>
      <c r="J47" t="str">
        <f t="shared" si="1"/>
        <v>[0.86, 0.91]</v>
      </c>
      <c r="K47" s="233">
        <v>0</v>
      </c>
    </row>
    <row r="48" spans="1:11" x14ac:dyDescent="0.2">
      <c r="A48" s="236" t="s">
        <v>41</v>
      </c>
      <c r="B48" s="237">
        <v>0.77199859999999998</v>
      </c>
      <c r="C48" s="238">
        <v>0</v>
      </c>
      <c r="D48" s="239">
        <v>0.71558670000000002</v>
      </c>
      <c r="E48" s="240">
        <v>0.83285759999999998</v>
      </c>
      <c r="I48">
        <f t="shared" si="0"/>
        <v>0.77</v>
      </c>
      <c r="J48" t="str">
        <f t="shared" si="1"/>
        <v>[0.72, 0.83]</v>
      </c>
      <c r="K48" s="238">
        <v>0</v>
      </c>
    </row>
    <row r="49" spans="1:11" x14ac:dyDescent="0.2">
      <c r="A49" s="241" t="s">
        <v>42</v>
      </c>
      <c r="B49" s="242">
        <v>0.82608250000000005</v>
      </c>
      <c r="C49" s="243">
        <v>0</v>
      </c>
      <c r="D49" s="244">
        <v>0.74254120000000001</v>
      </c>
      <c r="E49" s="245">
        <v>0.91902280000000003</v>
      </c>
      <c r="I49">
        <f t="shared" si="0"/>
        <v>0.83</v>
      </c>
      <c r="J49" t="str">
        <f t="shared" si="1"/>
        <v>[0.74, 0.92]</v>
      </c>
      <c r="K49" s="243">
        <v>0</v>
      </c>
    </row>
    <row r="50" spans="1:11" x14ac:dyDescent="0.2">
      <c r="A50" s="246" t="s">
        <v>43</v>
      </c>
      <c r="B50" s="247">
        <v>0.72539900000000002</v>
      </c>
      <c r="C50" s="248">
        <v>0</v>
      </c>
      <c r="D50" s="249">
        <v>0.68752210000000002</v>
      </c>
      <c r="E50" s="250">
        <v>0.76536249999999995</v>
      </c>
      <c r="I50">
        <f t="shared" si="0"/>
        <v>0.73</v>
      </c>
      <c r="J50" t="str">
        <f t="shared" si="1"/>
        <v>[0.69, 0.77]</v>
      </c>
      <c r="K50" s="248">
        <v>0</v>
      </c>
    </row>
    <row r="51" spans="1:11" x14ac:dyDescent="0.2">
      <c r="A51" s="251" t="s">
        <v>44</v>
      </c>
      <c r="B51" s="252">
        <v>1.0942620000000001</v>
      </c>
      <c r="C51" s="253">
        <v>0.186</v>
      </c>
      <c r="D51" s="254">
        <v>0.957453</v>
      </c>
      <c r="E51" s="255">
        <v>1.2506189999999999</v>
      </c>
      <c r="I51">
        <f t="shared" si="0"/>
        <v>1.0900000000000001</v>
      </c>
      <c r="J51" t="str">
        <f t="shared" si="1"/>
        <v>[0.96, 1.25]</v>
      </c>
      <c r="K51" s="253">
        <v>0.186</v>
      </c>
    </row>
    <row r="52" spans="1:11" x14ac:dyDescent="0.2">
      <c r="A52" s="256" t="s">
        <v>45</v>
      </c>
      <c r="B52" s="257">
        <v>0.81089199999999995</v>
      </c>
      <c r="C52" s="258">
        <v>0</v>
      </c>
      <c r="D52" s="259">
        <v>0.72986510000000004</v>
      </c>
      <c r="E52" s="260">
        <v>0.9009142</v>
      </c>
      <c r="I52">
        <f t="shared" si="0"/>
        <v>0.81</v>
      </c>
      <c r="J52" t="str">
        <f t="shared" si="1"/>
        <v>[0.73, 0.9]</v>
      </c>
      <c r="K52" s="258">
        <v>0</v>
      </c>
    </row>
    <row r="53" spans="1:11" x14ac:dyDescent="0.2">
      <c r="A53" s="261" t="s">
        <v>46</v>
      </c>
      <c r="B53" s="262">
        <v>0.97027430000000003</v>
      </c>
      <c r="C53" s="263">
        <v>0.24</v>
      </c>
      <c r="D53" s="264">
        <v>0.92263600000000001</v>
      </c>
      <c r="E53" s="265">
        <v>1.0203720000000001</v>
      </c>
      <c r="I53">
        <f t="shared" si="0"/>
        <v>0.97</v>
      </c>
      <c r="J53" t="str">
        <f t="shared" si="1"/>
        <v>[0.92, 1.02]</v>
      </c>
      <c r="K53" s="263">
        <v>0.24</v>
      </c>
    </row>
    <row r="54" spans="1:11" x14ac:dyDescent="0.2">
      <c r="A54" s="266" t="s">
        <v>47</v>
      </c>
      <c r="B54" s="267">
        <v>0.8359664</v>
      </c>
      <c r="C54" s="268">
        <v>0</v>
      </c>
      <c r="D54" s="269">
        <v>0.7927862</v>
      </c>
      <c r="E54" s="270">
        <v>0.88149860000000002</v>
      </c>
      <c r="I54">
        <f t="shared" si="0"/>
        <v>0.84</v>
      </c>
      <c r="J54" t="str">
        <f t="shared" si="1"/>
        <v>[0.79, 0.88]</v>
      </c>
      <c r="K54" s="268">
        <v>0</v>
      </c>
    </row>
    <row r="55" spans="1:11" x14ac:dyDescent="0.2">
      <c r="A55" s="271" t="s">
        <v>48</v>
      </c>
      <c r="B55" s="272">
        <v>1</v>
      </c>
      <c r="C55" s="273" t="s">
        <v>4</v>
      </c>
      <c r="D55" s="274" t="s">
        <v>4</v>
      </c>
      <c r="E55" s="275" t="s">
        <v>4</v>
      </c>
      <c r="I55">
        <f t="shared" si="0"/>
        <v>1</v>
      </c>
      <c r="J55" t="e">
        <f t="shared" si="1"/>
        <v>#VALUE!</v>
      </c>
      <c r="K55" s="273" t="s">
        <v>4</v>
      </c>
    </row>
    <row r="56" spans="1:11" x14ac:dyDescent="0.2">
      <c r="A56" s="276" t="s">
        <v>49</v>
      </c>
      <c r="B56" s="277">
        <v>0.72152590000000005</v>
      </c>
      <c r="C56" s="278">
        <v>1E-3</v>
      </c>
      <c r="D56" s="279">
        <v>0.59834080000000001</v>
      </c>
      <c r="E56" s="280">
        <v>0.87007199999999996</v>
      </c>
      <c r="I56">
        <f t="shared" si="0"/>
        <v>0.72</v>
      </c>
      <c r="J56" t="str">
        <f t="shared" si="1"/>
        <v>[0.6, 0.87]</v>
      </c>
      <c r="K56" s="278">
        <v>1E-3</v>
      </c>
    </row>
    <row r="57" spans="1:11" x14ac:dyDescent="0.2">
      <c r="A57" s="281" t="s">
        <v>50</v>
      </c>
      <c r="B57" s="282">
        <v>0.80654570000000003</v>
      </c>
      <c r="C57" s="283">
        <v>3.3000000000000002E-2</v>
      </c>
      <c r="D57" s="284">
        <v>0.66203149999999999</v>
      </c>
      <c r="E57" s="285">
        <v>0.98260579999999997</v>
      </c>
      <c r="I57">
        <f t="shared" si="0"/>
        <v>0.81</v>
      </c>
      <c r="J57" t="str">
        <f t="shared" si="1"/>
        <v>[0.66, 0.98]</v>
      </c>
      <c r="K57" s="283">
        <v>3.3000000000000002E-2</v>
      </c>
    </row>
    <row r="58" spans="1:11" x14ac:dyDescent="0.2">
      <c r="A58" s="286" t="s">
        <v>51</v>
      </c>
      <c r="B58" s="287">
        <v>0.77220290000000003</v>
      </c>
      <c r="C58" s="288">
        <v>3.0000000000000001E-3</v>
      </c>
      <c r="D58" s="289">
        <v>0.64998080000000003</v>
      </c>
      <c r="E58" s="290">
        <v>0.91740750000000004</v>
      </c>
      <c r="I58">
        <f t="shared" si="0"/>
        <v>0.77</v>
      </c>
      <c r="J58" t="str">
        <f t="shared" si="1"/>
        <v>[0.65, 0.92]</v>
      </c>
      <c r="K58" s="288">
        <v>3.0000000000000001E-3</v>
      </c>
    </row>
    <row r="59" spans="1:11" x14ac:dyDescent="0.2">
      <c r="A59" s="291" t="s">
        <v>52</v>
      </c>
      <c r="B59" s="292">
        <v>1.4240839999999999</v>
      </c>
      <c r="C59" s="293">
        <v>0</v>
      </c>
      <c r="D59" s="294">
        <v>1.2044969999999999</v>
      </c>
      <c r="E59" s="295">
        <v>1.683702</v>
      </c>
      <c r="I59">
        <f t="shared" si="0"/>
        <v>1.42</v>
      </c>
      <c r="J59" t="str">
        <f t="shared" si="1"/>
        <v>[1.2, 1.68]</v>
      </c>
      <c r="K59" s="293">
        <v>0</v>
      </c>
    </row>
    <row r="60" spans="1:11" x14ac:dyDescent="0.2">
      <c r="A60" s="296" t="s">
        <v>53</v>
      </c>
      <c r="B60" s="297">
        <v>1.7957160000000001</v>
      </c>
      <c r="C60" s="298">
        <v>0.56200000000000006</v>
      </c>
      <c r="D60" s="299">
        <v>0.24807070000000001</v>
      </c>
      <c r="E60" s="300">
        <v>12.998699999999999</v>
      </c>
      <c r="I60">
        <f t="shared" si="0"/>
        <v>1.8</v>
      </c>
      <c r="J60" t="str">
        <f t="shared" si="1"/>
        <v>[0.25, 13]</v>
      </c>
      <c r="K60" s="298">
        <v>0.56200000000000006</v>
      </c>
    </row>
    <row r="61" spans="1:11" x14ac:dyDescent="0.2">
      <c r="A61" s="301" t="s">
        <v>54</v>
      </c>
      <c r="B61" s="302">
        <v>0.75467329999999999</v>
      </c>
      <c r="C61" s="303">
        <v>0</v>
      </c>
      <c r="D61" s="304">
        <v>0.69371519999999998</v>
      </c>
      <c r="E61" s="305">
        <v>0.82098789999999999</v>
      </c>
      <c r="I61">
        <f t="shared" si="0"/>
        <v>0.75</v>
      </c>
      <c r="J61" t="str">
        <f t="shared" si="1"/>
        <v>[0.69, 0.82]</v>
      </c>
      <c r="K61" s="303">
        <v>0</v>
      </c>
    </row>
    <row r="62" spans="1:11" x14ac:dyDescent="0.2">
      <c r="A62" s="306" t="s">
        <v>55</v>
      </c>
      <c r="B62" s="307">
        <v>0.89463040000000005</v>
      </c>
      <c r="C62" s="308">
        <v>1.4999999999999999E-2</v>
      </c>
      <c r="D62" s="309">
        <v>0.8176911</v>
      </c>
      <c r="E62" s="310">
        <v>0.97880929999999999</v>
      </c>
      <c r="I62">
        <f t="shared" si="0"/>
        <v>0.89</v>
      </c>
      <c r="J62" t="str">
        <f t="shared" si="1"/>
        <v>[0.82, 0.98]</v>
      </c>
      <c r="K62" s="308">
        <v>1.4999999999999999E-2</v>
      </c>
    </row>
    <row r="63" spans="1:11" x14ac:dyDescent="0.2">
      <c r="A63" s="311" t="s">
        <v>56</v>
      </c>
      <c r="B63" s="312">
        <v>1.257123</v>
      </c>
      <c r="C63" s="313">
        <v>0.01</v>
      </c>
      <c r="D63" s="314">
        <v>1.0564819999999999</v>
      </c>
      <c r="E63" s="315">
        <v>1.495868</v>
      </c>
      <c r="I63">
        <f t="shared" si="0"/>
        <v>1.26</v>
      </c>
      <c r="J63" t="str">
        <f t="shared" si="1"/>
        <v>[1.06, 1.5]</v>
      </c>
      <c r="K63" s="313">
        <v>0.01</v>
      </c>
    </row>
    <row r="64" spans="1:11" x14ac:dyDescent="0.2">
      <c r="A64" s="316" t="s">
        <v>57</v>
      </c>
      <c r="B64" s="317">
        <v>1.1732419999999999</v>
      </c>
      <c r="C64" s="318">
        <v>0.30199999999999999</v>
      </c>
      <c r="D64" s="319">
        <v>0.86642620000000004</v>
      </c>
      <c r="E64" s="320">
        <v>1.588706</v>
      </c>
      <c r="I64">
        <f t="shared" si="0"/>
        <v>1.17</v>
      </c>
      <c r="J64" t="str">
        <f t="shared" si="1"/>
        <v>[0.87, 1.59]</v>
      </c>
      <c r="K64" s="318">
        <v>0.30199999999999999</v>
      </c>
    </row>
    <row r="65" spans="1:11" x14ac:dyDescent="0.2">
      <c r="A65" s="321" t="s">
        <v>58</v>
      </c>
      <c r="B65" s="322">
        <v>1.135505</v>
      </c>
      <c r="C65" s="323">
        <v>0.35199999999999998</v>
      </c>
      <c r="D65" s="324">
        <v>0.86905460000000001</v>
      </c>
      <c r="E65" s="325">
        <v>1.483649</v>
      </c>
      <c r="I65">
        <f t="shared" si="0"/>
        <v>1.1399999999999999</v>
      </c>
      <c r="J65" t="str">
        <f t="shared" si="1"/>
        <v>[0.87, 1.48]</v>
      </c>
      <c r="K65" s="323">
        <v>0.35199999999999998</v>
      </c>
    </row>
    <row r="66" spans="1:11" x14ac:dyDescent="0.2">
      <c r="A66" s="326" t="s">
        <v>59</v>
      </c>
      <c r="B66" s="327">
        <v>1.6068990000000001</v>
      </c>
      <c r="C66" s="328">
        <v>0.71799999999999997</v>
      </c>
      <c r="D66" s="329">
        <v>0.1226628</v>
      </c>
      <c r="E66" s="330">
        <v>21.05059</v>
      </c>
      <c r="I66">
        <f t="shared" si="0"/>
        <v>1.61</v>
      </c>
      <c r="J66" t="str">
        <f t="shared" si="1"/>
        <v>[0.12, 21.05]</v>
      </c>
      <c r="K66" s="328">
        <v>0.71799999999999997</v>
      </c>
    </row>
    <row r="67" spans="1:11" x14ac:dyDescent="0.2">
      <c r="A67" s="331" t="s">
        <v>60</v>
      </c>
      <c r="B67" s="332">
        <v>1.02328</v>
      </c>
      <c r="C67" s="333">
        <v>0.70699999999999996</v>
      </c>
      <c r="D67" s="334">
        <v>0.90762089999999995</v>
      </c>
      <c r="E67" s="335">
        <v>1.1536770000000001</v>
      </c>
      <c r="I67">
        <f t="shared" ref="I67:I80" si="2">ROUND(B67,2)</f>
        <v>1.02</v>
      </c>
      <c r="J67" t="str">
        <f t="shared" ref="J67:J80" si="3">"["&amp;ROUND(D67,2)&amp;", "&amp;ROUND(E67,2)&amp;"]"</f>
        <v>[0.91, 1.15]</v>
      </c>
      <c r="K67" s="333">
        <v>0.70699999999999996</v>
      </c>
    </row>
    <row r="68" spans="1:11" x14ac:dyDescent="0.2">
      <c r="A68" s="336" t="s">
        <v>61</v>
      </c>
      <c r="B68" s="337">
        <v>1.3828229999999999</v>
      </c>
      <c r="C68" s="338">
        <v>0</v>
      </c>
      <c r="D68" s="339">
        <v>1.225428</v>
      </c>
      <c r="E68" s="340">
        <v>1.5604340000000001</v>
      </c>
      <c r="I68">
        <f t="shared" si="2"/>
        <v>1.38</v>
      </c>
      <c r="J68" t="str">
        <f t="shared" si="3"/>
        <v>[1.23, 1.56]</v>
      </c>
      <c r="K68" s="338">
        <v>0</v>
      </c>
    </row>
    <row r="69" spans="1:11" x14ac:dyDescent="0.2">
      <c r="A69" s="341" t="s">
        <v>62</v>
      </c>
      <c r="B69" s="342">
        <v>0.93913979999999997</v>
      </c>
      <c r="C69" s="343">
        <v>0.44600000000000001</v>
      </c>
      <c r="D69" s="344">
        <v>0.79902090000000003</v>
      </c>
      <c r="E69" s="345">
        <v>1.1038300000000001</v>
      </c>
      <c r="I69">
        <f t="shared" si="2"/>
        <v>0.94</v>
      </c>
      <c r="J69" t="str">
        <f t="shared" si="3"/>
        <v>[0.8, 1.1]</v>
      </c>
      <c r="K69" s="343">
        <v>0.44600000000000001</v>
      </c>
    </row>
    <row r="70" spans="1:11" x14ac:dyDescent="0.2">
      <c r="A70" s="346" t="s">
        <v>63</v>
      </c>
      <c r="B70" s="347">
        <v>0.23990030000000001</v>
      </c>
      <c r="C70" s="348">
        <v>1.2999999999999999E-2</v>
      </c>
      <c r="D70" s="349">
        <v>7.7877100000000005E-2</v>
      </c>
      <c r="E70" s="350">
        <v>0.73901249999999996</v>
      </c>
      <c r="I70">
        <f t="shared" si="2"/>
        <v>0.24</v>
      </c>
      <c r="J70" t="str">
        <f t="shared" si="3"/>
        <v>[0.08, 0.74]</v>
      </c>
      <c r="K70" s="348">
        <v>1.2999999999999999E-2</v>
      </c>
    </row>
    <row r="71" spans="1:11" x14ac:dyDescent="0.2">
      <c r="A71" s="351" t="s">
        <v>64</v>
      </c>
      <c r="B71" s="352">
        <v>1.6026849999999999</v>
      </c>
      <c r="C71" s="353">
        <v>0</v>
      </c>
      <c r="D71" s="354">
        <v>1.238621</v>
      </c>
      <c r="E71" s="355">
        <v>2.0737580000000002</v>
      </c>
      <c r="I71">
        <f t="shared" si="2"/>
        <v>1.6</v>
      </c>
      <c r="J71" t="str">
        <f t="shared" si="3"/>
        <v>[1.24, 2.07]</v>
      </c>
      <c r="K71" s="353">
        <v>0</v>
      </c>
    </row>
    <row r="72" spans="1:11" x14ac:dyDescent="0.2">
      <c r="A72" s="356" t="s">
        <v>65</v>
      </c>
      <c r="B72" s="357">
        <v>1.2134769999999999</v>
      </c>
      <c r="C72" s="358">
        <v>0.23200000000000001</v>
      </c>
      <c r="D72" s="359">
        <v>0.88334389999999996</v>
      </c>
      <c r="E72" s="360">
        <v>1.6669909999999999</v>
      </c>
      <c r="I72">
        <f t="shared" si="2"/>
        <v>1.21</v>
      </c>
      <c r="J72" t="str">
        <f t="shared" si="3"/>
        <v>[0.88, 1.67]</v>
      </c>
      <c r="K72" s="358">
        <v>0.23200000000000001</v>
      </c>
    </row>
    <row r="73" spans="1:11" x14ac:dyDescent="0.2">
      <c r="A73" s="361" t="s">
        <v>66</v>
      </c>
      <c r="B73" s="362">
        <v>0.85806850000000001</v>
      </c>
      <c r="C73" s="363">
        <v>6.0999999999999999E-2</v>
      </c>
      <c r="D73" s="364">
        <v>0.73101839999999996</v>
      </c>
      <c r="E73" s="365">
        <v>1.0072000000000001</v>
      </c>
      <c r="I73">
        <f t="shared" si="2"/>
        <v>0.86</v>
      </c>
      <c r="J73" t="str">
        <f t="shared" si="3"/>
        <v>[0.73, 1.01]</v>
      </c>
      <c r="K73" s="363">
        <v>6.0999999999999999E-2</v>
      </c>
    </row>
    <row r="74" spans="1:11" x14ac:dyDescent="0.2">
      <c r="A74" s="366" t="s">
        <v>67</v>
      </c>
      <c r="B74" s="367">
        <v>1.3533139999999999</v>
      </c>
      <c r="C74" s="368">
        <v>4.0000000000000001E-3</v>
      </c>
      <c r="D74" s="369">
        <v>1.103205</v>
      </c>
      <c r="E74" s="370">
        <v>1.6601250000000001</v>
      </c>
      <c r="I74">
        <f t="shared" si="2"/>
        <v>1.35</v>
      </c>
      <c r="J74" t="str">
        <f t="shared" si="3"/>
        <v>[1.1, 1.66]</v>
      </c>
      <c r="K74" s="368">
        <v>4.0000000000000001E-3</v>
      </c>
    </row>
    <row r="75" spans="1:11" x14ac:dyDescent="0.2">
      <c r="A75" s="371" t="s">
        <v>68</v>
      </c>
      <c r="B75" s="372">
        <v>0.99067729999999998</v>
      </c>
      <c r="C75" s="373">
        <v>0.78800000000000003</v>
      </c>
      <c r="D75" s="374">
        <v>0.92540940000000005</v>
      </c>
      <c r="E75" s="375">
        <v>1.060548</v>
      </c>
      <c r="I75">
        <f t="shared" si="2"/>
        <v>0.99</v>
      </c>
      <c r="J75" t="str">
        <f t="shared" si="3"/>
        <v>[0.93, 1.06]</v>
      </c>
      <c r="K75" s="373">
        <v>0.78800000000000003</v>
      </c>
    </row>
    <row r="76" spans="1:11" x14ac:dyDescent="0.2">
      <c r="A76" s="376" t="s">
        <v>69</v>
      </c>
      <c r="B76" s="377">
        <v>1.0783780000000001</v>
      </c>
      <c r="C76" s="378">
        <v>0.374</v>
      </c>
      <c r="D76" s="379">
        <v>0.91309720000000005</v>
      </c>
      <c r="E76" s="380">
        <v>1.273577</v>
      </c>
      <c r="I76">
        <f t="shared" si="2"/>
        <v>1.08</v>
      </c>
      <c r="J76" t="str">
        <f t="shared" si="3"/>
        <v>[0.91, 1.27]</v>
      </c>
      <c r="K76" s="378">
        <v>0.374</v>
      </c>
    </row>
    <row r="77" spans="1:11" x14ac:dyDescent="0.2">
      <c r="A77" s="381" t="s">
        <v>70</v>
      </c>
      <c r="B77" s="382">
        <v>0.83166410000000002</v>
      </c>
      <c r="C77" s="383">
        <v>0</v>
      </c>
      <c r="D77" s="384">
        <v>0.76844590000000002</v>
      </c>
      <c r="E77" s="385">
        <v>0.90008299999999997</v>
      </c>
      <c r="I77">
        <f t="shared" si="2"/>
        <v>0.83</v>
      </c>
      <c r="J77" t="str">
        <f t="shared" si="3"/>
        <v>[0.77, 0.9]</v>
      </c>
      <c r="K77" s="383">
        <v>0</v>
      </c>
    </row>
    <row r="78" spans="1:11" x14ac:dyDescent="0.2">
      <c r="A78" s="386" t="s">
        <v>71</v>
      </c>
      <c r="B78" s="387">
        <v>1.354849</v>
      </c>
      <c r="C78" s="388">
        <v>2.8000000000000001E-2</v>
      </c>
      <c r="D78" s="389">
        <v>1.0340849999999999</v>
      </c>
      <c r="E78" s="390">
        <v>1.7751110000000001</v>
      </c>
      <c r="I78">
        <f t="shared" si="2"/>
        <v>1.35</v>
      </c>
      <c r="J78" t="str">
        <f t="shared" si="3"/>
        <v>[1.03, 1.78]</v>
      </c>
      <c r="K78" s="388">
        <v>2.8000000000000001E-2</v>
      </c>
    </row>
    <row r="79" spans="1:11" x14ac:dyDescent="0.2">
      <c r="A79" s="391" t="s">
        <v>72</v>
      </c>
      <c r="B79" s="392">
        <v>0.78653079999999997</v>
      </c>
      <c r="C79" s="393">
        <v>0</v>
      </c>
      <c r="D79" s="394">
        <v>0.73398220000000003</v>
      </c>
      <c r="E79" s="395">
        <v>0.84284159999999997</v>
      </c>
      <c r="I79">
        <f t="shared" si="2"/>
        <v>0.79</v>
      </c>
      <c r="J79" t="str">
        <f t="shared" si="3"/>
        <v>[0.73, 0.84]</v>
      </c>
      <c r="K79" s="393">
        <v>0</v>
      </c>
    </row>
    <row r="80" spans="1:11" x14ac:dyDescent="0.2">
      <c r="A80" s="396" t="s">
        <v>73</v>
      </c>
      <c r="B80" s="397">
        <v>3.1104419999999999</v>
      </c>
      <c r="C80" s="398">
        <v>1.0999999999999999E-2</v>
      </c>
      <c r="D80" s="399">
        <v>1.297795</v>
      </c>
      <c r="E80" s="400">
        <v>7.4548360000000002</v>
      </c>
      <c r="I80">
        <f t="shared" si="2"/>
        <v>3.11</v>
      </c>
      <c r="J80" t="str">
        <f t="shared" si="3"/>
        <v>[1.3, 7.45]</v>
      </c>
      <c r="K80" s="398">
        <v>1.0999999999999999E-2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Ahluwalia, Vinayak</cp:lastModifiedBy>
  <dcterms:modified xsi:type="dcterms:W3CDTF">2024-05-15T17:22:21Z</dcterms:modified>
</cp:coreProperties>
</file>